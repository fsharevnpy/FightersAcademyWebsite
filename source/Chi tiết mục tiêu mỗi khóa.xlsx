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ỹ sư nhí tập sự - Khóa 1" sheetId="1" r:id="rId4"/>
    <sheet state="visible" name="Kỹ sư nhí tập sự - Khóa 1 (Modi" sheetId="2" r:id="rId5"/>
    <sheet state="visible" name="Kỹ sư nhí tập sự - Khóa 2" sheetId="3" r:id="rId6"/>
    <sheet state="visible" name="Kỹ sư nhí tập sự - Khóa 2+" sheetId="4" r:id="rId7"/>
    <sheet state="visible" name="Kỹ sư nhí chính thức - Khóa 1" sheetId="5" r:id="rId8"/>
    <sheet state="visible" name="Kỹ sư nhí chính thức - Khóa 2" sheetId="6" r:id="rId9"/>
  </sheets>
  <definedNames/>
  <calcPr/>
  <extLst>
    <ext uri="GoogleSheetsCustomDataVersion2">
      <go:sheetsCustomData xmlns:go="http://customooxmlschemas.google.com/" r:id="rId10" roundtripDataChecksum="rfs/+FfnXFufPE8Vq9zJm4IYPu+m1p3QjC0pMfYtZgE="/>
    </ext>
  </extLst>
</workbook>
</file>

<file path=xl/sharedStrings.xml><?xml version="1.0" encoding="utf-8"?>
<sst xmlns="http://schemas.openxmlformats.org/spreadsheetml/2006/main" count="966" uniqueCount="396">
  <si>
    <t>Định hướng chương trình</t>
  </si>
  <si>
    <r>
      <rPr>
        <rFont val="Arial"/>
        <color theme="1"/>
      </rPr>
      <t xml:space="preserve">Khóa 1: </t>
    </r>
    <r>
      <rPr>
        <rFont val="Arial"/>
        <b/>
        <color theme="1"/>
      </rPr>
      <t>Logic và kỹ thuật cơ bản</t>
    </r>
    <r>
      <rPr>
        <rFont val="Arial"/>
        <color theme="1"/>
      </rPr>
      <t xml:space="preserve"> - Định hướng dạy logic, lắp ghép mô hình, điện cơ bản, motor, LED, và công tắc</t>
    </r>
  </si>
  <si>
    <t>Cấu trúc buổi học</t>
  </si>
  <si>
    <t>Phần</t>
  </si>
  <si>
    <t>Thời lượng</t>
  </si>
  <si>
    <t>Nội dung</t>
  </si>
  <si>
    <t>Giới thiệu bài học</t>
  </si>
  <si>
    <t>15’</t>
  </si>
  <si>
    <t>GV nêu nội dung bài học</t>
  </si>
  <si>
    <t>Hướng dẫn thực hành</t>
  </si>
  <si>
    <t>5'</t>
  </si>
  <si>
    <t>Học viên chọn cách lắp, chia việc</t>
  </si>
  <si>
    <t>Lắp ráp / lập trình</t>
  </si>
  <si>
    <t>30'</t>
  </si>
  <si>
    <t>Làm sản phẩm bằng kit</t>
  </si>
  <si>
    <t>Chạy demo và debug</t>
  </si>
  <si>
    <t>Chạy thử, sửa lỗi, cải tiến</t>
  </si>
  <si>
    <t>Trình bày sản phẩm</t>
  </si>
  <si>
    <t>10’</t>
  </si>
  <si>
    <t>Từng nhóm trình bày giới thiệu ngắn về sản phẩm + chụp ảnh</t>
  </si>
  <si>
    <t>Nội dung 16 buổi học</t>
  </si>
  <si>
    <t>Buổi</t>
  </si>
  <si>
    <t>Chủ đề</t>
  </si>
  <si>
    <t>Nội dung chính</t>
  </si>
  <si>
    <t>Sản phẩm/kết quả</t>
  </si>
  <si>
    <t>Làm quen tư duy kỹ sư và bộ kit</t>
  </si>
  <si>
    <t>Quan sát, đặt câu hỏi, thử nghiệm, biết tên linh kiện chính</t>
  </si>
  <si>
    <t>Biết kit gồm những phần nào</t>
  </si>
  <si>
    <t>Logic trình tự</t>
  </si>
  <si>
    <t>Làm theo thứ tự từng bước</t>
  </si>
  <si>
    <t>Lắp mô hình theo checklist</t>
  </si>
  <si>
    <t>Lắp ghép mô hình cơ bản</t>
  </si>
  <si>
    <t>Khung, điểm nối, độ chắc chắn</t>
  </si>
  <si>
    <t>Mô hình cơ khí đơn giản</t>
  </si>
  <si>
    <r>
      <rPr>
        <rFont val="Arial"/>
        <color theme="1"/>
      </rPr>
      <t xml:space="preserve">Khóa 1: </t>
    </r>
    <r>
      <rPr>
        <rFont val="Arial"/>
        <b/>
        <color theme="1"/>
      </rPr>
      <t>Logic và kỹ thuật cơ bản</t>
    </r>
    <r>
      <rPr>
        <rFont val="Arial"/>
        <color theme="1"/>
      </rPr>
      <t xml:space="preserve"> - Định hướng dạy logic, lắp ghép mô hình, điện cơ bản, motor, LED, và công tắc</t>
    </r>
  </si>
  <si>
    <t>Thực hành 1</t>
  </si>
  <si>
    <t>Lắp mô hình kỹ thuật theo hướng dẫn</t>
  </si>
  <si>
    <t>Mô hình chắc chắn, đúng cấu trúc</t>
  </si>
  <si>
    <t>Cân bằng và chuyển động cơ khí</t>
  </si>
  <si>
    <t>Bánh xe, trục, ma sát, mô hình chạy thẳng/lệch</t>
  </si>
  <si>
    <t>Mô hình xe/robot cơ khí (chưa dùng điện)</t>
  </si>
  <si>
    <t>Điện cơ bản</t>
  </si>
  <si>
    <t>Nguồn điện, dây dẫn, mạch kín/mạch hở</t>
  </si>
  <si>
    <t>Mạch điện đơn giản</t>
  </si>
  <si>
    <t>LED</t>
  </si>
  <si>
    <t>LED sáng/tắt, cực LED, vai trò đèn báo</t>
  </si>
  <si>
    <t>Mạch LED sáng/tắt</t>
  </si>
  <si>
    <t>Thực hành 2</t>
  </si>
  <si>
    <t>Lắp mô hình có LED</t>
  </si>
  <si>
    <t>Mô hình kỹ thuật có đèn báo</t>
  </si>
  <si>
    <t>Công tắc</t>
  </si>
  <si>
    <t>Công tắc đóng/ngắt mạch</t>
  </si>
  <si>
    <t>Bật/tắt LED bằng công tắc</t>
  </si>
  <si>
    <t>Motor</t>
  </si>
  <si>
    <t>Motor tạo chuyển động, chiều quay</t>
  </si>
  <si>
    <t>Mô hình có motor</t>
  </si>
  <si>
    <t>Motor + công tắc</t>
  </si>
  <si>
    <t>Dùng công tắc điều khiển motor</t>
  </si>
  <si>
    <t>Mô hình chạy/dừng bằng công tắc</t>
  </si>
  <si>
    <t>Thực hành 3</t>
  </si>
  <si>
    <t>Kết hợp khung + motor + công tắc</t>
  </si>
  <si>
    <t>Mô hình chuyển động điều khiển được</t>
  </si>
  <si>
    <t>LED + motor</t>
  </si>
  <si>
    <t>LED báo trạng thái khi motor hoạt động</t>
  </si>
  <si>
    <t>Mô hình có chuyển động và đèn báo</t>
  </si>
  <si>
    <t>Debug cơ bản</t>
  </si>
  <si>
    <t>Lỗi lỏng dây, sai cực, hết pin, motor không quay, mô hình lỏng</t>
  </si>
  <si>
    <t>Biết kiểm tra lỗi đơn giản</t>
  </si>
  <si>
    <t>Thiết kế sản phẩm cuối khóa</t>
  </si>
  <si>
    <t>Chọn chức năng: chuyển động, bật/tắt, đèn báo</t>
  </si>
  <si>
    <t>Bản thiết kế sản phẩm bằng kit</t>
  </si>
  <si>
    <t>Thực hành cuối khóa</t>
  </si>
  <si>
    <t>Hoàn thiện, test, trình bày</t>
  </si>
  <si>
    <t>Sản phẩm kỹ thuật có motor/LED/công tắc</t>
  </si>
  <si>
    <t>Thực hành cuối khóa có thể là</t>
  </si>
  <si>
    <t>- Quạt có nút điều khiển và đèn trạng thái</t>
  </si>
  <si>
    <t>- Hệ thống cổng có đèn/còi báo hiệu</t>
  </si>
  <si>
    <t>- Máy phân loại lệnh đơn giản: Nút 1 - Xoay motor, Nút 2 - Bật/tắt LED, Nút 3 - Bật tắt còi báo động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</si>
  <si>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</t>
    </r>
  </si>
  <si>
    <t>Linh kiện cần chuẩn bị</t>
  </si>
  <si>
    <t>Nhóm linh kiện</t>
  </si>
  <si>
    <t>Tên</t>
  </si>
  <si>
    <t>Số lượng</t>
  </si>
  <si>
    <t>Đơn giá</t>
  </si>
  <si>
    <t>Tổng</t>
  </si>
  <si>
    <t>Link</t>
  </si>
  <si>
    <t>Kit cơ khí lắp ghép</t>
  </si>
  <si>
    <t>Kit 9686</t>
  </si>
  <si>
    <r>
      <rPr>
        <rFont val="Arial"/>
        <b/>
        <color theme="1"/>
      </rPr>
      <t>Khóa 2</t>
    </r>
    <r>
      <rPr>
        <rFont val="Arial"/>
        <color theme="1"/>
      </rPr>
      <t>: Robotic và Sensor cơ bản - Lắp ghép robot đơn giản, cảm biến cơ bản, hiểu input - output</t>
    </r>
  </si>
  <si>
    <r>
      <rPr>
        <rFont val="Arial"/>
        <b/>
        <color theme="1"/>
      </rPr>
      <t>Khóa 2+</t>
    </r>
    <r>
      <rPr>
        <rFont val="Arial"/>
        <color theme="1"/>
      </rPr>
      <t>: Khám phá AI Mini - Nhận diện màu sáng/tối, hệ thống dừng khi thấy vật cản, máy đoán đúng/sai, ...</t>
    </r>
  </si>
  <si>
    <t>Kidbots  -  Logic trình tự</t>
  </si>
  <si>
    <t>Dùng thẻ lệnh điều khiển “robot người”; thực hiện lệnh theo đúng thứ tự</t>
  </si>
  <si>
    <t>Thực hiện được chuỗi lệnh đơn giản</t>
  </si>
  <si>
    <t>https://www.csunplugged.org/en/topics/kidbots/rescue-mission/</t>
  </si>
  <si>
    <t>https://shopee.vn/%C4%90%E1%BB%93-Ch%C6%A1i-Gi%C3%A1o-D%E1%BB%A5c-%C4%90%E1%BB%93-Ch%C6%A1i-Ph%C3%A1t-Tri%E1%BB%83n-T%C6%B0-Duy-Khoa-H%E1%BB%8Dc-Cho-B%C3%A9-L%E1%BA%AFp-gh%C3%A9p-k%E1%BB%B9-thu%E1%BA%ADt-9686-i.1433328376.25589659144</t>
  </si>
  <si>
    <t>Từng nhóm trình bày ngắn</t>
  </si>
  <si>
    <r>
      <rPr>
        <rFont val="Arial"/>
        <b/>
        <color theme="1"/>
      </rPr>
      <t>AI</t>
    </r>
    <r>
      <rPr>
        <rFont val="Arial"/>
        <color theme="1"/>
      </rPr>
      <t xml:space="preserve"> - Thêm case và bố trí linh kiện phù hợp để tránh đơn điệu</t>
    </r>
  </si>
  <si>
    <t>Ôn khóa 1 và làm quen robot</t>
  </si>
  <si>
    <t>Ôn motor, LED, công tắc, input-output</t>
  </si>
  <si>
    <t>Nắm kiến thức cũ</t>
  </si>
  <si>
    <t>AI Mini là gì?</t>
  </si>
  <si>
    <t>Cảm biến là gì?</t>
  </si>
  <si>
    <t>Sensor nhận tín hiệu từ môi trường: vật cản, ánh sáng, line</t>
  </si>
  <si>
    <t>Máy học từ ví dụ mẫu, sau đó nhận diện và phản hồi</t>
  </si>
  <si>
    <t>Nhận biết các loại cảm biến cơ bản</t>
  </si>
  <si>
    <t>Hiểu “dạy máy học” là gì</t>
  </si>
  <si>
    <t>Lắp robot cơ bản</t>
  </si>
  <si>
    <t>Input - train - output</t>
  </si>
  <si>
    <t>Lắp khung robot, motor, bánh xe, board điều khiển</t>
  </si>
  <si>
    <t>Quy trình: đưa mẫu - máy học - máy đoán - máy phản hồi</t>
  </si>
  <si>
    <t>Robot cơ bản có thể chạy</t>
  </si>
  <si>
    <t>Vẽ được sơ đồ AI Mini đơn giản</t>
  </si>
  <si>
    <t>Lắp hoàn chỉnh robot chạy tiến/lùi đơn giản</t>
  </si>
  <si>
    <t>Robot di chuyển được</t>
  </si>
  <si>
    <t>Dạy máy phân biệt sáng/tối</t>
  </si>
  <si>
    <t>Dùng đèn pin, hộp che sáng hoặc bàn tay để tạo mẫu sáng/tối</t>
  </si>
  <si>
    <t>Cảm biến vật cản</t>
  </si>
  <si>
    <t>Máy có mẫu sáng/tối ban đầu</t>
  </si>
  <si>
    <t>Cảm biến phát hiện có vật phía trước</t>
  </si>
  <si>
    <t>Robot/sensor nhận được vật cản</t>
  </si>
  <si>
    <t>Thực hành 1: Đèn AI sáng/tối</t>
  </si>
  <si>
    <t>Train lại mẫu sáng/tối, test nhiều lần; nếu tối thì bật đèn, nếu sáng thì tắt đèn</t>
  </si>
  <si>
    <t>Mô hình đèn phản hồi theo sáng/tối</t>
  </si>
  <si>
    <r>
      <rPr>
        <rFont val="Arial"/>
        <color theme="1"/>
      </rPr>
      <t xml:space="preserve">Logic điều kiện </t>
    </r>
    <r>
      <rPr>
        <rFont val="Arial"/>
        <b/>
        <color theme="1"/>
      </rPr>
      <t>IF</t>
    </r>
  </si>
  <si>
    <t>Nếu có vật cản thì dừng, nếu không thì chạy</t>
  </si>
  <si>
    <t>Hiểu điều kiện đơn giản</t>
  </si>
  <si>
    <t>Dạy máy học màu</t>
  </si>
  <si>
    <t>Đưa thẻ đỏ/xanh/vàng vào vùng nhận diện và train từng màu</t>
  </si>
  <si>
    <t>Máy có mẫu màu cơ bản</t>
  </si>
  <si>
    <t>ESP32</t>
  </si>
  <si>
    <t>Robot dừng khi gặp vật cản</t>
  </si>
  <si>
    <t>ESP32-S</t>
  </si>
  <si>
    <t>Kết hợp motor + sensor vật cản</t>
  </si>
  <si>
    <t>Máy gọi đúng màu</t>
  </si>
  <si>
    <t>Robot chạy và tự dừng</t>
  </si>
  <si>
    <t>Đưa thẻ màu ngẫu nhiên, máy nhận diện màu và phản hồi bằng LED/buzzer</t>
  </si>
  <si>
    <t>Hướng dẫn an toàn điện</t>
  </si>
  <si>
    <t>Máy nhận diện màu đỏ/xanh/vàng</t>
  </si>
  <si>
    <t>Nguyên tắc cơ bản và xử lý khi có sự cố</t>
  </si>
  <si>
    <t>Nắm các quy tắc an toàn cần thiết</t>
  </si>
  <si>
    <t>Thực hành mini: robot tránh va chạm cơ bản</t>
  </si>
  <si>
    <t>Robot phản ứng với vật cản</t>
  </si>
  <si>
    <t>Cảm biến ánh sáng</t>
  </si>
  <si>
    <t>Nhận biết sáng/tối, ánh sáng mạnh/yếu</t>
  </si>
  <si>
    <t>Mô hình phản ứng với ánh sáng</t>
  </si>
  <si>
    <t>https://hshop.vn/kit-rf-thu-phat-wifi-ble-esp32-nodemcu-32s-ch340-ai-thinker</t>
  </si>
  <si>
    <t>LED/buzzer phản hồi sensor</t>
  </si>
  <si>
    <t>Sensor làm input, LED/buzzer làm output</t>
  </si>
  <si>
    <t>Đèn/còi báo theo tín hiệu cảm biến</t>
  </si>
  <si>
    <t>Vì sao máy nhận sai màu?</t>
  </si>
  <si>
    <t>Thử thay đổi ánh sáng, khoảng cách, góc nghiêng, nền phía sau</t>
  </si>
  <si>
    <t>Cảm biến line / màu cơ bản</t>
  </si>
  <si>
    <t>Hiểu lỗi nhận diện do môi trường</t>
  </si>
  <si>
    <t>Nhận biết vạch đen/trắng hoặc màu đơn giản</t>
  </si>
  <si>
    <t>Robot đọc được line/màu</t>
  </si>
  <si>
    <t>Lắp mô hình có LED và nhắc lại các quy tắc an toàn</t>
  </si>
  <si>
    <t>Mạch LED sáng/tắt và nhớ quy tắc cần thiết</t>
  </si>
  <si>
    <t>Thực hành 2: Máy phân loại màu</t>
  </si>
  <si>
    <t>Màu đỏ/xanh/vàng tạo ra phản hồi khác nhau bằng LED, buzzer hoặc servo</t>
  </si>
  <si>
    <t>Robot đi theo vạch đơn giản hoặc phản hồi theo màu</t>
  </si>
  <si>
    <t>Máy phân loại màu đơn giản</t>
  </si>
  <si>
    <t>Sắp xếp theo quy tắc</t>
  </si>
  <si>
    <t>Robot có nhiệm vụ theo sensor</t>
  </si>
  <si>
    <t>So sánh, sắp xếp theo quy tắc; di chuyển vật tạo đúng thứ tự</t>
  </si>
  <si>
    <t>Sắp xếp đúng một nhóm số/vật theo từng bước</t>
  </si>
  <si>
    <t>Dạy máy biết đúng/sai</t>
  </si>
  <si>
    <t>Kết hợp nhiều input-output</t>
  </si>
  <si>
    <t>https://www.csunplugged.org/en/topics/sorting-networks/</t>
  </si>
  <si>
    <t>Sensor + nút nhấn + motor + LED/buzzer</t>
  </si>
  <si>
    <t>Dùng thẻ phép tính đúng/sai, cho máy học hai nhóm mẫu</t>
  </si>
  <si>
    <t>Robot có nhiều trạng thái phản hồi</t>
  </si>
  <si>
    <t>Máy có mẫu đúng/sai</t>
  </si>
  <si>
    <t>Debug robot sensor</t>
  </si>
  <si>
    <t>Máy chấm bài mini</t>
  </si>
  <si>
    <t>Lỗi sensor không nhận, quá xa/gần, ánh sáng nhiễu, motor lệch</t>
  </si>
  <si>
    <t>Đưa thẻ phép tính vào, máy nhận diện và báo đúng/sai</t>
  </si>
  <si>
    <t>Máy kiểm tra phép tính đơn giản</t>
  </si>
  <si>
    <t>Biết kiểm tra lỗi cơ bản</t>
  </si>
  <si>
    <t>Dây cáp nạp code</t>
  </si>
  <si>
    <t>Thiết kế Thực hành cuối khóa</t>
  </si>
  <si>
    <t>Phản hồi đúng/sai</t>
  </si>
  <si>
    <t>Chọn nhiệm vụ, vẽ sơ đồ input-output, chọn linh kiện</t>
  </si>
  <si>
    <t>Bản thiết kế robot có sensor</t>
  </si>
  <si>
    <t>LED xanh khi đúng, LED đỏ/còi khi sai; có thể thêm servo mở cổng khi đúng</t>
  </si>
  <si>
    <t>Máy phản hồi rõ ràng theo kết quả</t>
  </si>
  <si>
    <t>https://hshop.vn/cap-micro-usb-to-usb-a-2-0-cable-30cm</t>
  </si>
  <si>
    <t>Hoàn thiện, test, demo, trình bày</t>
  </si>
  <si>
    <t>Thực hành 3: Máy chấm bài AI Mini</t>
  </si>
  <si>
    <t>Robot có cảm biến và phản hồi tự động</t>
  </si>
  <si>
    <t>Train mẫu phép tính, test thẻ mới, sửa lỗi nhận diện</t>
  </si>
  <si>
    <t>Máy chấm bài mini hoàn chỉnh</t>
  </si>
  <si>
    <t>Kết hợp nhiều kiểu nhận diện</t>
  </si>
  <si>
    <t>Ôn sáng/tối, màu sắc, đúng/sai; chọn input phù hợp với từng nhiệm vụ</t>
  </si>
  <si>
    <t>- Robot dừng khi gặp vật cản</t>
  </si>
  <si>
    <t>Biết chọn loại nhận diện theo mục tiêu</t>
  </si>
  <si>
    <t>- Cổng mở bằng công tắc chạm</t>
  </si>
  <si>
    <t>- Đèn/Còi cảnh báo khi phát hiện vật thể</t>
  </si>
  <si>
    <t>Chọn Thực hành, chọn mẫu cần train, chọn output, vẽ sơ đồ input - train - output</t>
  </si>
  <si>
    <t>Có bản thiết kế AI Mini</t>
  </si>
  <si>
    <t>Train và kiểm thử Project cuối khóa</t>
  </si>
  <si>
    <t>Arduino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</si>
  <si>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</t>
    </r>
  </si>
  <si>
    <t>Train lại mẫu, test nhiều lần, điều chỉnh ánh sáng/góc đặt/khoảng cách</t>
  </si>
  <si>
    <t>Arduino uno</t>
  </si>
  <si>
    <t>Số nhị phân</t>
  </si>
  <si>
    <t>Project ổn định hơn</t>
  </si>
  <si>
    <t>Hai trạng thái 0/1; ON/OFF; tạo và đọc chuỗi nhị phân đơn giản</t>
  </si>
  <si>
    <t>Nhận biết cách biểu diễn thông tin bằng 0 và 1</t>
  </si>
  <si>
    <t>https://www.csunplugged.org/en/topics/binary-numbers/</t>
  </si>
  <si>
    <t>Demo sản phẩm, giải thích máy học gì, nhận diện ra sao và phản hồi thế nào</t>
  </si>
  <si>
    <t>https://hshop.vn/arduino-uno-r3-smd-chip-don</t>
  </si>
  <si>
    <t>Sản phẩm AI Mini hoàn chỉnh</t>
  </si>
  <si>
    <t>Nhóm linh kiện có thể tận dụng lại từ khóa 1</t>
  </si>
  <si>
    <t>Project cuối khóa có thể là</t>
  </si>
  <si>
    <t>- Nhận diện màu sáng hoặc tối</t>
  </si>
  <si>
    <t>- Nhận diện màu sắc</t>
  </si>
  <si>
    <t>- Nhận diện phép tính đúng - sai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</si>
  <si>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Blocky), </t>
    </r>
    <r>
      <rPr>
        <rFont val="Arial"/>
        <b/>
        <color theme="1"/>
      </rPr>
      <t>PictoBlox</t>
    </r>
  </si>
  <si>
    <t>Biểu diễn ảnh trắng đen</t>
  </si>
  <si>
    <t>https://hshop.vn/cap-usb-b-to-usb-a-2-0-cable-30cm</t>
  </si>
  <si>
    <t>Pixel, ô sáng/tắt, giải mã hình ảnh từ các ô</t>
  </si>
  <si>
    <t>Tạo hoặc giải mã một hình pixel đơn giản</t>
  </si>
  <si>
    <t>https://www.csunplugged.org/en/topics/image-representation/</t>
  </si>
  <si>
    <t>Module LED</t>
  </si>
  <si>
    <t>Mạch LED giao thông</t>
  </si>
  <si>
    <t>Biểu diễn số nhị phân bằng LED + công tắc</t>
  </si>
  <si>
    <t>Tạo được chuỗi trạng thái LED theo mã cho trước</t>
  </si>
  <si>
    <t>Giải thuật tìm kiếm đơn giản</t>
  </si>
  <si>
    <t>https://icdayroi.com/mach-led-giao-thong-5v</t>
  </si>
  <si>
    <t>Tìm từng bước, loại trừ, chia nhỏ phạm vi tìm kiếm</t>
  </si>
  <si>
    <t>Tìm vật/số bí mật bằng chiến thuật</t>
  </si>
  <si>
    <t>https://www.csunplugged.org/en/topics/searching-algorithms/</t>
  </si>
  <si>
    <t>Mạch dãy 8 LED</t>
  </si>
  <si>
    <t>https://icdayroi.com/mach-hien-thi-8-led-5mm</t>
  </si>
  <si>
    <t>Chọn cách sử dụng LED, công tắc và logic 0/1; lên ý tưởng</t>
  </si>
  <si>
    <t>Bản thiết kế sản phẩm</t>
  </si>
  <si>
    <t>Lắp ráp, thử nghiệm, sửa lỗi và trình bày</t>
  </si>
  <si>
    <t>Sản phẩm hoàn chỉnh</t>
  </si>
  <si>
    <t>Phím nhấn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</si>
  <si>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</t>
    </r>
  </si>
  <si>
    <t>https://hshop.vn/ban-phim-cung-1x4-keypad</t>
  </si>
  <si>
    <t>Công tắc gạt</t>
  </si>
  <si>
    <t>https://icdayroi.com/cong-tac-co-day-san-kcd1-101</t>
  </si>
  <si>
    <t>Module còi báo</t>
  </si>
  <si>
    <t>Mạch còi báo MKE-M03 Buzzer Module</t>
  </si>
  <si>
    <t>https://hshop.vn/mach-coi-bao-mke-m03-buzzer-module</t>
  </si>
  <si>
    <t>Động cơ</t>
  </si>
  <si>
    <t>Động cơ vàng kèm bánh xe</t>
  </si>
  <si>
    <t>https://hshop.vn/cum-dong-co-dc-giam-toc-tt-motor-kem-banh-xe-nhua-65mm</t>
  </si>
  <si>
    <t>Servo 180 độ</t>
  </si>
  <si>
    <t>https://hshop.vn/dong-co-rc-servo-9g</t>
  </si>
  <si>
    <t>https://hshop.vn/mach-hien-thi-1x8-led-display</t>
  </si>
  <si>
    <t>L298N</t>
  </si>
  <si>
    <t>https://hshop.vn/mach-dieu-khien-dong-co-dc-l298</t>
  </si>
  <si>
    <t>Breadboard</t>
  </si>
  <si>
    <t>Bảng thử mạch Solderless Breadboard 830 Point</t>
  </si>
  <si>
    <t>https://hshop.vn/test-board-cammb-102</t>
  </si>
  <si>
    <t>Dây cắm</t>
  </si>
  <si>
    <t>Cái-Cái</t>
  </si>
  <si>
    <t>https://hshop.vn/day-cam-breadboard-cai-cai-20cm-bo-25-soi-don-loai-tot-f-f-jumper-wire</t>
  </si>
  <si>
    <t>Đực-Cái</t>
  </si>
  <si>
    <t>https://hshop.vn/day-cam-breadboard-duc-cai-20cm-cap-det-40-soi-m-f-jumper-wire</t>
  </si>
  <si>
    <t>Đực-Đực</t>
  </si>
  <si>
    <t>https://hshop.vn/day-cam-breadboard-duc-duc-20cm-cap-det-40-soi-m-m-jumper-wire</t>
  </si>
  <si>
    <t>Pin</t>
  </si>
  <si>
    <t>Cục sạc 4 ngăn</t>
  </si>
  <si>
    <t>https://hshop.vn/bo-sac-pin-18650-li-ion-usb-battery-charger-yh-18650-4</t>
  </si>
  <si>
    <t>Khay pin</t>
  </si>
  <si>
    <t>https://www.thegioiic.com/hop-pin-khay-pin-2x18650-co-cong-tac</t>
  </si>
  <si>
    <t>https://hshop.vn/pin-sac-18650-li-ion-rechargeable-battery-3-7v-2000mah-10c-20a-chinh-hang-lishen</t>
  </si>
  <si>
    <t>Module adapter</t>
  </si>
  <si>
    <t>Adapter 12V - 2A</t>
  </si>
  <si>
    <t>https://hshop.vn/nguon-power-adaptor-ac-dc-12v-2a</t>
  </si>
  <si>
    <t>Mạch cấp nguồn ra (đầu vào jack DC, đầu ra pin từ 3.3 -12 V)</t>
  </si>
  <si>
    <t>https://icdayroi.com/mach-cap-nguon-dc-dc-nhieu-dau-ra-3-3v-5v-12v</t>
  </si>
  <si>
    <t>Total</t>
  </si>
  <si>
    <t>Nhóm linh kiện bổ sung</t>
  </si>
  <si>
    <t>Cảm biến</t>
  </si>
  <si>
    <t>Cảm biến siêu âm</t>
  </si>
  <si>
    <t>https://hshop.vn/cam-bien-sieu-am-srf04</t>
  </si>
  <si>
    <t>Cảm biến quang</t>
  </si>
  <si>
    <t>https://hshop.vn/cam-bien-anh-sang-quang-tro-2</t>
  </si>
  <si>
    <t>Cảm biến điện dung (Cảm biến chạm)</t>
  </si>
  <si>
    <t>https://hshop.vn/cam-bien-1-cham-dien-dung-capacitive-touch-button-oe-tp-5-20vdc</t>
  </si>
  <si>
    <t>Cảm biến màu sắc</t>
  </si>
  <si>
    <t>https://hshop.vn/cam-bien-mau-sac-tcs34725-giao-tiep-i2c-va-uart</t>
  </si>
  <si>
    <t>Camera</t>
  </si>
  <si>
    <t>Webcam Logitech C270</t>
  </si>
  <si>
    <t>https://phongvu.vn/webcam-logitech-hd-c270--s1301831</t>
  </si>
  <si>
    <r>
      <rPr>
        <rFont val="Arial"/>
        <b/>
        <color theme="1"/>
      </rPr>
      <t>Khóa 1</t>
    </r>
    <r>
      <rPr>
        <rFont val="Arial"/>
        <color theme="1"/>
      </rPr>
      <t>: Robotic Basic - Cơ khí robot, motor, LED, cảm biến cơ bản, block coding</t>
    </r>
  </si>
  <si>
    <t>Kết quả</t>
  </si>
  <si>
    <t>Robot và nhiệm vụ robot</t>
  </si>
  <si>
    <t>Robot là hệ thống gồm thân, motor, controller, sensor, code</t>
  </si>
  <si>
    <t>Hiểu robot không chỉ là mô hình chạy được</t>
  </si>
  <si>
    <t>Lắp mobile robot base</t>
  </si>
  <si>
    <t>Lắp khung xe robot, motor trái/phải, bánh xe, nguồn</t>
  </si>
  <si>
    <t>Robot base chắc chắn</t>
  </si>
  <si>
    <t>Block coding: chạy thẳng/dừng</t>
  </si>
  <si>
    <t>Lệnh motor, tốc độ, thời gian chạy</t>
  </si>
  <si>
    <t>Robot chạy thẳng và dừng đúng lệnh</t>
  </si>
  <si>
    <t>Thực hành 1: Robot chạy đến đích</t>
  </si>
  <si>
    <t>Điều chỉnh thời gian/tốc độ để robot đến vị trí mục tiêu</t>
  </si>
  <si>
    <t>Robot hoàn thành thử thách chạy đến đích</t>
  </si>
  <si>
    <t>Điều khiển hướng di chuyển</t>
  </si>
  <si>
    <t>Quay trái, quay phải, lùi, dừng</t>
  </si>
  <si>
    <t>Robot đi theo lệnh điều hướng</t>
  </si>
  <si>
    <t>Lập trình trình tự di chuyển</t>
  </si>
  <si>
    <t>Chuỗi lệnh: tiến - quay - tiến - dừng</t>
  </si>
  <si>
    <t>Robot đi theo đường định sẵn</t>
  </si>
  <si>
    <t>LED/buzzer báo trạng thái robot</t>
  </si>
  <si>
    <t>Robot báo đang chạy, dừng, lỗi, hoàn thành</t>
  </si>
  <si>
    <t>Robot có trạng thái rõ ràng</t>
  </si>
  <si>
    <t>Thực hành 2: Robot vượt sa bàn đơn giản</t>
  </si>
  <si>
    <t>Lập trình robot đi qua tuyến đường có điểm rẽ</t>
  </si>
  <si>
    <t>Robot đi theo kịch bản trên sa bàn</t>
  </si>
  <si>
    <t>Sensor là input của robot</t>
  </si>
  <si>
    <t>Cảm biến vật cản/siêu âm/quang là tín hiệu đầu vào</t>
  </si>
  <si>
    <t>Đọc được tín hiệu sensor</t>
  </si>
  <si>
    <t>Điều kiện IF trong robot</t>
  </si>
  <si>
    <t>Nếu có vật cản thì dừng/cảnh báo</t>
  </si>
  <si>
    <t>Robot phản hồi theo điều kiện</t>
  </si>
  <si>
    <t>Robot tự dừng trước vật cản</t>
  </si>
  <si>
    <t>Kết hợp motor + sensor + LED/buzzer</t>
  </si>
  <si>
    <t>Robot dừng đúng khi gặp vật</t>
  </si>
  <si>
    <t>Thực hành 3: Robot an toàn</t>
  </si>
  <si>
    <t>Robot chạy, phát hiện vật cản, dừng và báo hiệu</t>
  </si>
  <si>
    <t>Robot hoàn thành nhiệm vụ an toàn</t>
  </si>
  <si>
    <t>Thiết kế thử thách cuối khóa (A)</t>
  </si>
  <si>
    <t>Chọn 1 nhiệm vụ robot: đi từ điểm A đến B, dừng khi gặp vật cản, bật đèn/còi khi hoàn thành; vẽ đường đi và sơ đồ input-output</t>
  </si>
  <si>
    <t>Có bản thiết kế nhiệm vụ, sơ đồ đường đi, danh sách linh kiện và thuật toán block</t>
  </si>
  <si>
    <t>Debug theo quy trình (B)</t>
  </si>
  <si>
    <t>Kiểm tra theo thứ tự: nguồn - dây nối - port - motor - cảm biến - block code - cơ khí</t>
  </si>
  <si>
    <t>Học viên biết tìm nguyên nhân lỗi thay vì sửa ngẫu nhiên</t>
  </si>
  <si>
    <t>Tối ưu robot cho thử thách (C)</t>
  </si>
  <si>
    <t>Điều chỉnh tốc độ motor, thời gian chạy, góc quay, vị trí cảm biến, độ chắc khung để robot chạy ổn định trên sa bàn</t>
  </si>
  <si>
    <t>Robot chạy thẳng hơn, quay đúng hơn, cảm biến nhận vật cản ổn định hơn</t>
  </si>
  <si>
    <t>Thực hành 4: Robot hoàn thành nhiệm vụ</t>
  </si>
  <si>
    <t>Robot thực hiện thử thách trên sa bàn: xuất phát, di chuyển, phản ứng với vật cản, báo hiệu khi hoàn thành; học viên trình bày cách robot hoạt động</t>
  </si>
  <si>
    <t>Robot hoàn chỉnh thực hiện được nhiệm vụ có điều kiện và học viên giải thích được input-output</t>
  </si>
  <si>
    <t>- Cổng trạm servo sử dụng cảm biến siêu âm</t>
  </si>
  <si>
    <t>- Robot phát cảnh báo khi phát hiện vật thể gần</t>
  </si>
  <si>
    <r>
      <rPr>
        <rFont val="Arial"/>
        <b/>
        <color theme="1"/>
      </rPr>
      <t>Khóa 2</t>
    </r>
    <r>
      <rPr>
        <rFont val="Arial"/>
        <color theme="1"/>
      </rPr>
      <t>: Robotic Intermediate - Robot phản ứng thông minh tránh vật cản, dò line, servo, đa cảm biến</t>
    </r>
  </si>
  <si>
    <t>- Robot đổi hướng khi thấy vật cản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</si>
  <si>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Blocky), </t>
    </r>
    <r>
      <rPr>
        <rFont val="Arial"/>
        <b/>
        <color theme="1"/>
      </rPr>
      <t>MitAppInventor</t>
    </r>
  </si>
  <si>
    <t>Nhóm linh kiện có thể tận dụng lại từ khóa 2+ (Kỹ sư nhí tập sự)</t>
  </si>
  <si>
    <t>Robot phản ứng thông minh</t>
  </si>
  <si>
    <t>Robot không chỉ chạy theo lệnh sẵn, mà biết đọc cảm biến và chọn hành động</t>
  </si>
  <si>
    <t>Hiểu mục tiêu khóa 2</t>
  </si>
  <si>
    <t>Đọc tín hiệu cảm biến</t>
  </si>
  <si>
    <t>Cảm biến khoảng cách, cảm biến line, tín hiệu có/không, gần/xa, sáng/tối</t>
  </si>
  <si>
    <t>Biết đọc và quan sát tín hiệu sensor</t>
  </si>
  <si>
    <t>Bảng tình huống - hành động</t>
  </si>
  <si>
    <t>Nếu thấy vật thì làm gì, nếu lệch line thì làm gì, nếu đến đích thì làm gì</t>
  </si>
  <si>
    <t>Có bảng input-output cho robot</t>
  </si>
  <si>
    <t>Thực hành 1: Robot phản ứng với vật</t>
  </si>
  <si>
    <t>Robot chạy, gặp vật thì dừng/chậm lại/báo hiệu</t>
  </si>
  <si>
    <t>Robot phản ứng được với vật cản</t>
  </si>
  <si>
    <t>Robot tránh vật cản</t>
  </si>
  <si>
    <t>Gặp vật - lùi - rẽ - chạy tiếp</t>
  </si>
  <si>
    <t>Robot tránh vật cản đơn giản</t>
  </si>
  <si>
    <t>Chỉnh robot né vật ổn định</t>
  </si>
  <si>
    <t>Chỉnh tốc độ, thời gian lùi/rẽ, vị trí cảm biến</t>
  </si>
  <si>
    <t>Robot né vật ổn định hơn</t>
  </si>
  <si>
    <t>Sa bàn tránh vật cản</t>
  </si>
  <si>
    <t>Thiết kế đường chạy, đặt vật cản, luật không chạm vật</t>
  </si>
  <si>
    <t>Có kịch bản thử thách né vật</t>
  </si>
  <si>
    <t>Thực hành 2: Robot né vật cản</t>
  </si>
  <si>
    <t>Robot vượt sa bàn có vật cản đơn giản</t>
  </si>
  <si>
    <t>Robot hoàn thành thử thách né vật</t>
  </si>
  <si>
    <t>Robot nhận biết line</t>
  </si>
  <si>
    <t>Cảm biến line nhận nền sáng/tối, trái/phải, đang trên line/ngoài line</t>
  </si>
  <si>
    <t>Robot nhận biết vị trí so với line</t>
  </si>
  <si>
    <t>Robot dò line cơ bản</t>
  </si>
  <si>
    <t>Lệch trái thì chỉnh phải, lệch phải thì chỉnh trái, đúng line thì đi thẳng</t>
  </si>
  <si>
    <t>Robot đi theo line đơn giản</t>
  </si>
  <si>
    <t>Chỉnh robot dò line ổn định</t>
  </si>
  <si>
    <t>Chỉnh tốc độ, vị trí cảm biến, độ rộng line, đoạn cua</t>
  </si>
  <si>
    <t>Robot dò line ổn định hơn</t>
  </si>
  <si>
    <t>Thực hành 3: Robot dò line</t>
  </si>
  <si>
    <t>Robot đi theo line có đoạn cua và checkpoint</t>
  </si>
  <si>
    <t>Robot hoàn thành thử thách dò line</t>
  </si>
  <si>
    <t>Servo trong robot</t>
  </si>
  <si>
    <t>Servo mở cổng, gạt vật, đóng/mở khay, nâng/hạ cơ cấu đơn giản</t>
  </si>
  <si>
    <t>Robot có cơ cấu thao tác bằng servo</t>
  </si>
  <si>
    <t>Robot phối hợp nhiều phản hồi</t>
  </si>
  <si>
    <t>Kết hợp sensor + motor + LED/buzzer + servo</t>
  </si>
  <si>
    <t>Robot vừa di chuyển vừa báo hiệu/thao tác</t>
  </si>
  <si>
    <t>Chuẩn bị project cuối khóa</t>
  </si>
  <si>
    <t>Ghép chức năng: đi theo line hoặc né vật, đến đích, servo/LED/buzzer báo hoàn thành</t>
  </si>
  <si>
    <t>Robot sẵn sàng demo</t>
  </si>
  <si>
    <t>Robot chạy thử thách cuối khóa và học viên trình bày cách robot hoạt động</t>
  </si>
  <si>
    <t>Robot hoàn chỉnh + học viên giải thích được input-output</t>
  </si>
  <si>
    <t>- Robot dò line, né vật cản (rẽ hoặc đi lùi) thông qua cảm biến; phối hợp chức năng điều khiển tay cầm</t>
  </si>
  <si>
    <r>
      <rPr>
        <rFont val="Arial"/>
        <color theme="1"/>
      </rPr>
      <t xml:space="preserve">Phần mềm cần chuẩn bị: </t>
    </r>
    <r>
      <rPr>
        <rFont val="Arial"/>
        <b/>
        <color theme="1"/>
      </rPr>
      <t>VS Code</t>
    </r>
    <r>
      <rPr>
        <rFont val="Arial"/>
        <color theme="1"/>
      </rPr>
      <t xml:space="preserve"> (Cài thêm Singular Blocky), </t>
    </r>
    <r>
      <rPr>
        <rFont val="Arial"/>
        <b/>
        <color theme="1"/>
      </rPr>
      <t>MitAppInventor</t>
    </r>
  </si>
  <si>
    <t>Cảm biến dò line 5 kênh</t>
  </si>
  <si>
    <t>https://icdayroi.com/cam-bien-do-line-thanh-5-led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</si>
</sst>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Carlito"/>
    </font>
    <font>
      <u/>
      <sz val="11.0"/>
      <color rgb="FF0000FF"/>
      <name val="Carlito"/>
    </font>
    <font>
      <u/>
      <color rgb="FF0000FF"/>
    </font>
    <font>
      <color rgb="FFFF0000"/>
      <name val="Arial"/>
    </font>
    <font>
      <u/>
      <color rgb="FF0000FF"/>
    </font>
    <font/>
    <font>
      <b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</border>
    <border>
      <right style="thin">
        <color rgb="FFBFBFBF"/>
      </right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2" numFmtId="0" xfId="0" applyFont="1"/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Border="1" applyFont="1"/>
    <xf borderId="3" fillId="0" fontId="4" numFmtId="0" xfId="0" applyAlignment="1" applyBorder="1" applyFont="1">
      <alignment readingOrder="0"/>
    </xf>
    <xf borderId="3" fillId="0" fontId="3" numFmtId="0" xfId="0" applyBorder="1" applyFont="1"/>
    <xf borderId="0" fillId="0" fontId="5" numFmtId="0" xfId="0" applyFont="1"/>
    <xf borderId="1" fillId="2" fontId="3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4" fillId="0" fontId="3" numFmtId="0" xfId="0" applyBorder="1" applyFont="1"/>
    <xf borderId="0" fillId="0" fontId="7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5" fillId="0" fontId="2" numFmtId="0" xfId="0" applyAlignment="1" applyBorder="1" applyFont="1">
      <alignment horizontal="center"/>
    </xf>
    <xf borderId="6" fillId="0" fontId="8" numFmtId="0" xfId="0" applyBorder="1" applyFont="1"/>
    <xf borderId="7" fillId="0" fontId="8" numFmtId="0" xfId="0" applyBorder="1" applyFont="1"/>
    <xf borderId="1" fillId="0" fontId="9" numFmtId="0" xfId="0" applyBorder="1" applyFont="1"/>
    <xf borderId="0" fillId="0" fontId="9" numFmtId="0" xfId="0" applyFont="1"/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pin-sac-18650-li-ion-rechargeable-battery-3-7v-2000mah-10c-20a-chinh-hang-lishen" TargetMode="External"/><Relationship Id="rId11" Type="http://schemas.openxmlformats.org/officeDocument/2006/relationships/hyperlink" Target="https://hshop.vn/cum-dong-co-dc-giam-toc-tt-motor-kem-banh-xe-nhua-65mm" TargetMode="External"/><Relationship Id="rId22" Type="http://schemas.openxmlformats.org/officeDocument/2006/relationships/hyperlink" Target="https://icdayroi.com/mach-cap-nguon-dc-dc-nhieu-dau-ra-3-3v-5v-12v" TargetMode="External"/><Relationship Id="rId10" Type="http://schemas.openxmlformats.org/officeDocument/2006/relationships/hyperlink" Target="https://hshop.vn/mach-coi-bao-mke-m03-buzzer-module" TargetMode="External"/><Relationship Id="rId21" Type="http://schemas.openxmlformats.org/officeDocument/2006/relationships/hyperlink" Target="https://hshop.vn/nguon-power-adaptor-ac-dc-12v-2a" TargetMode="External"/><Relationship Id="rId13" Type="http://schemas.openxmlformats.org/officeDocument/2006/relationships/hyperlink" Target="https://hshop.vn/mach-dieu-khien-dong-co-dc-l298" TargetMode="External"/><Relationship Id="rId12" Type="http://schemas.openxmlformats.org/officeDocument/2006/relationships/hyperlink" Target="https://hshop.vn/dong-co-rc-servo-9g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2" Type="http://schemas.openxmlformats.org/officeDocument/2006/relationships/hyperlink" Target="https://hshop.vn/kit-rf-thu-phat-wifi-ble-esp32-nodemcu-32s-ch340-ai-thinker" TargetMode="External"/><Relationship Id="rId3" Type="http://schemas.openxmlformats.org/officeDocument/2006/relationships/hyperlink" Target="https://hshop.vn/cap-micro-usb-to-usb-a-2-0-cable-30cm" TargetMode="External"/><Relationship Id="rId4" Type="http://schemas.openxmlformats.org/officeDocument/2006/relationships/hyperlink" Target="https://hshop.vn/arduino-uno-r3-smd-chip-don" TargetMode="External"/><Relationship Id="rId9" Type="http://schemas.openxmlformats.org/officeDocument/2006/relationships/hyperlink" Target="https://icdayroi.com/cong-tac-co-day-san-kcd1-101" TargetMode="External"/><Relationship Id="rId15" Type="http://schemas.openxmlformats.org/officeDocument/2006/relationships/hyperlink" Target="https://hshop.vn/day-cam-breadboard-cai-cai-20cm-bo-25-soi-don-loai-tot-f-f-jumper-wire" TargetMode="External"/><Relationship Id="rId14" Type="http://schemas.openxmlformats.org/officeDocument/2006/relationships/hyperlink" Target="https://hshop.vn/test-board-cammb-102" TargetMode="External"/><Relationship Id="rId17" Type="http://schemas.openxmlformats.org/officeDocument/2006/relationships/hyperlink" Target="https://hshop.vn/day-cam-breadboard-duc-duc-20cm-cap-det-40-soi-m-m-jumper-wire" TargetMode="External"/><Relationship Id="rId16" Type="http://schemas.openxmlformats.org/officeDocument/2006/relationships/hyperlink" Target="https://hshop.vn/day-cam-breadboard-duc-cai-20cm-cap-det-40-soi-m-f-jumper-wire" TargetMode="External"/><Relationship Id="rId5" Type="http://schemas.openxmlformats.org/officeDocument/2006/relationships/hyperlink" Target="https://hshop.vn/cap-usb-b-to-usb-a-2-0-cable-30cm" TargetMode="External"/><Relationship Id="rId19" Type="http://schemas.openxmlformats.org/officeDocument/2006/relationships/hyperlink" Target="https://www.thegioiic.com/hop-pin-khay-pin-2x18650-co-cong-tac" TargetMode="External"/><Relationship Id="rId6" Type="http://schemas.openxmlformats.org/officeDocument/2006/relationships/hyperlink" Target="https://icdayroi.com/mach-led-giao-thong-5v" TargetMode="External"/><Relationship Id="rId18" Type="http://schemas.openxmlformats.org/officeDocument/2006/relationships/hyperlink" Target="https://hshop.vn/bo-sac-pin-18650-li-ion-usb-battery-charger-yh-18650-4" TargetMode="External"/><Relationship Id="rId7" Type="http://schemas.openxmlformats.org/officeDocument/2006/relationships/hyperlink" Target="https://icdayroi.com/mach-hien-thi-8-led-5mm" TargetMode="External"/><Relationship Id="rId8" Type="http://schemas.openxmlformats.org/officeDocument/2006/relationships/hyperlink" Target="https://hshop.vn/ban-phim-cung-1x4-keypad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day-cam-breadboard-cai-cai-20cm-bo-25-soi-don-loai-tot-f-f-jumper-wire" TargetMode="External"/><Relationship Id="rId22" Type="http://schemas.openxmlformats.org/officeDocument/2006/relationships/hyperlink" Target="https://hshop.vn/day-cam-breadboard-duc-duc-20cm-cap-det-40-soi-m-m-jumper-wire" TargetMode="External"/><Relationship Id="rId21" Type="http://schemas.openxmlformats.org/officeDocument/2006/relationships/hyperlink" Target="https://hshop.vn/day-cam-breadboard-duc-cai-20cm-cap-det-40-soi-m-f-jumper-wire" TargetMode="External"/><Relationship Id="rId24" Type="http://schemas.openxmlformats.org/officeDocument/2006/relationships/hyperlink" Target="https://www.thegioiic.com/hop-pin-khay-pin-2x18650-co-cong-tac" TargetMode="External"/><Relationship Id="rId23" Type="http://schemas.openxmlformats.org/officeDocument/2006/relationships/hyperlink" Target="https://hshop.vn/bo-sac-pin-18650-li-ion-usb-battery-charger-yh-18650-4" TargetMode="External"/><Relationship Id="rId1" Type="http://schemas.openxmlformats.org/officeDocument/2006/relationships/hyperlink" Target="https://www.csunplugged.org/en/topics/kidbots/rescue-mission/" TargetMode="External"/><Relationship Id="rId2" Type="http://schemas.openxmlformats.org/officeDocument/2006/relationships/hyperlink" Target="https://www.csunplugged.org/en/topics/sorting-networks/" TargetMode="External"/><Relationship Id="rId3" Type="http://schemas.openxmlformats.org/officeDocument/2006/relationships/hyperlink" Target="https://www.csunplugged.org/en/topics/binary-numbers/" TargetMode="External"/><Relationship Id="rId4" Type="http://schemas.openxmlformats.org/officeDocument/2006/relationships/hyperlink" Target="https://www.csunplugged.org/en/topics/image-representation/" TargetMode="External"/><Relationship Id="rId9" Type="http://schemas.openxmlformats.org/officeDocument/2006/relationships/hyperlink" Target="https://hshop.vn/arduino-uno-r3-smd-chip-don" TargetMode="External"/><Relationship Id="rId26" Type="http://schemas.openxmlformats.org/officeDocument/2006/relationships/hyperlink" Target="https://hshop.vn/nguon-power-adaptor-ac-dc-12v-2a" TargetMode="External"/><Relationship Id="rId25" Type="http://schemas.openxmlformats.org/officeDocument/2006/relationships/hyperlink" Target="https://hshop.vn/pin-sac-18650-li-ion-rechargeable-battery-3-7v-2000mah-10c-20a-chinh-hang-lishen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icdayroi.com/mach-cap-nguon-dc-dc-nhieu-dau-ra-3-3v-5v-12v" TargetMode="External"/><Relationship Id="rId5" Type="http://schemas.openxmlformats.org/officeDocument/2006/relationships/hyperlink" Target="https://www.csunplugged.org/en/topics/searching-algorithms/" TargetMode="External"/><Relationship Id="rId6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7" Type="http://schemas.openxmlformats.org/officeDocument/2006/relationships/hyperlink" Target="https://hshop.vn/kit-rf-thu-phat-wifi-ble-esp32-nodemcu-32s-ch340-ai-thinker" TargetMode="External"/><Relationship Id="rId8" Type="http://schemas.openxmlformats.org/officeDocument/2006/relationships/hyperlink" Target="https://hshop.vn/cap-micro-usb-to-usb-a-2-0-cable-30cm" TargetMode="External"/><Relationship Id="rId11" Type="http://schemas.openxmlformats.org/officeDocument/2006/relationships/hyperlink" Target="https://icdayroi.com/mach-led-giao-thong-5v" TargetMode="External"/><Relationship Id="rId10" Type="http://schemas.openxmlformats.org/officeDocument/2006/relationships/hyperlink" Target="https://hshop.vn/cap-usb-b-to-usb-a-2-0-cable-30cm" TargetMode="External"/><Relationship Id="rId13" Type="http://schemas.openxmlformats.org/officeDocument/2006/relationships/hyperlink" Target="https://hshop.vn/ban-phim-cung-1x4-keypad" TargetMode="External"/><Relationship Id="rId12" Type="http://schemas.openxmlformats.org/officeDocument/2006/relationships/hyperlink" Target="https://icdayroi.com/mach-hien-thi-8-led-5mm" TargetMode="External"/><Relationship Id="rId15" Type="http://schemas.openxmlformats.org/officeDocument/2006/relationships/hyperlink" Target="https://hshop.vn/mach-coi-bao-mke-m03-buzzer-module" TargetMode="External"/><Relationship Id="rId14" Type="http://schemas.openxmlformats.org/officeDocument/2006/relationships/hyperlink" Target="https://icdayroi.com/cong-tac-co-day-san-kcd1-101" TargetMode="External"/><Relationship Id="rId17" Type="http://schemas.openxmlformats.org/officeDocument/2006/relationships/hyperlink" Target="https://hshop.vn/dong-co-rc-servo-9g" TargetMode="External"/><Relationship Id="rId16" Type="http://schemas.openxmlformats.org/officeDocument/2006/relationships/hyperlink" Target="https://hshop.vn/cum-dong-co-dc-giam-toc-tt-motor-kem-banh-xe-nhua-65mm" TargetMode="External"/><Relationship Id="rId19" Type="http://schemas.openxmlformats.org/officeDocument/2006/relationships/hyperlink" Target="https://hshop.vn/test-board-cammb-102" TargetMode="External"/><Relationship Id="rId18" Type="http://schemas.openxmlformats.org/officeDocument/2006/relationships/hyperlink" Target="https://hshop.vn/mach-dieu-khien-dong-co-dc-l298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pin-sac-18650-li-ion-rechargeable-battery-3-7v-2000mah-10c-20a-chinh-hang-lishen" TargetMode="External"/><Relationship Id="rId22" Type="http://schemas.openxmlformats.org/officeDocument/2006/relationships/hyperlink" Target="https://icdayroi.com/mach-cap-nguon-dc-dc-nhieu-dau-ra-3-3v-5v-12v" TargetMode="External"/><Relationship Id="rId21" Type="http://schemas.openxmlformats.org/officeDocument/2006/relationships/hyperlink" Target="https://hshop.vn/nguon-power-adaptor-ac-dc-12v-2a" TargetMode="External"/><Relationship Id="rId24" Type="http://schemas.openxmlformats.org/officeDocument/2006/relationships/hyperlink" Target="https://hshop.vn/cam-bien-anh-sang-quang-tro-2" TargetMode="External"/><Relationship Id="rId23" Type="http://schemas.openxmlformats.org/officeDocument/2006/relationships/hyperlink" Target="https://hshop.vn/cam-bien-sieu-am-srf04" TargetMode="External"/><Relationship Id="rId1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2" Type="http://schemas.openxmlformats.org/officeDocument/2006/relationships/hyperlink" Target="https://hshop.vn/kit-rf-thu-phat-wifi-ble-esp32-nodemcu-32s-ch340-ai-thinker" TargetMode="External"/><Relationship Id="rId3" Type="http://schemas.openxmlformats.org/officeDocument/2006/relationships/hyperlink" Target="https://hshop.vn/cap-micro-usb-to-usb-a-2-0-cable-30cm" TargetMode="External"/><Relationship Id="rId4" Type="http://schemas.openxmlformats.org/officeDocument/2006/relationships/hyperlink" Target="https://hshop.vn/arduino-uno-r3-smd-chip-don" TargetMode="External"/><Relationship Id="rId9" Type="http://schemas.openxmlformats.org/officeDocument/2006/relationships/hyperlink" Target="https://icdayroi.com/cong-tac-co-day-san-kcd1-101" TargetMode="External"/><Relationship Id="rId26" Type="http://schemas.openxmlformats.org/officeDocument/2006/relationships/hyperlink" Target="https://hshop.vn/cam-bien-mau-sac-tcs34725-giao-tiep-i2c-va-uart" TargetMode="External"/><Relationship Id="rId25" Type="http://schemas.openxmlformats.org/officeDocument/2006/relationships/hyperlink" Target="https://hshop.vn/cam-bien-1-cham-dien-dung-capacitive-touch-button-oe-tp-5-20vdc" TargetMode="External"/><Relationship Id="rId27" Type="http://schemas.openxmlformats.org/officeDocument/2006/relationships/drawing" Target="../drawings/drawing3.xml"/><Relationship Id="rId5" Type="http://schemas.openxmlformats.org/officeDocument/2006/relationships/hyperlink" Target="https://hshop.vn/cap-usb-b-to-usb-a-2-0-cable-30cm" TargetMode="External"/><Relationship Id="rId6" Type="http://schemas.openxmlformats.org/officeDocument/2006/relationships/hyperlink" Target="https://icdayroi.com/mach-led-giao-thong-5v" TargetMode="External"/><Relationship Id="rId7" Type="http://schemas.openxmlformats.org/officeDocument/2006/relationships/hyperlink" Target="https://hshop.vn/mach-hien-thi-1x8-led-display" TargetMode="External"/><Relationship Id="rId8" Type="http://schemas.openxmlformats.org/officeDocument/2006/relationships/hyperlink" Target="https://hshop.vn/ban-phim-cung-1x4-keypad" TargetMode="External"/><Relationship Id="rId11" Type="http://schemas.openxmlformats.org/officeDocument/2006/relationships/hyperlink" Target="https://hshop.vn/cum-dong-co-dc-giam-toc-tt-motor-kem-banh-xe-nhua-65mm" TargetMode="External"/><Relationship Id="rId10" Type="http://schemas.openxmlformats.org/officeDocument/2006/relationships/hyperlink" Target="https://hshop.vn/mach-coi-bao-mke-m03-buzzer-module" TargetMode="External"/><Relationship Id="rId13" Type="http://schemas.openxmlformats.org/officeDocument/2006/relationships/hyperlink" Target="https://hshop.vn/mach-dieu-khien-dong-co-dc-l298" TargetMode="External"/><Relationship Id="rId12" Type="http://schemas.openxmlformats.org/officeDocument/2006/relationships/hyperlink" Target="https://hshop.vn/dong-co-rc-servo-9g" TargetMode="External"/><Relationship Id="rId15" Type="http://schemas.openxmlformats.org/officeDocument/2006/relationships/hyperlink" Target="https://hshop.vn/day-cam-breadboard-cai-cai-20cm-bo-25-soi-don-loai-tot-f-f-jumper-wire" TargetMode="External"/><Relationship Id="rId14" Type="http://schemas.openxmlformats.org/officeDocument/2006/relationships/hyperlink" Target="https://hshop.vn/test-board-cammb-102" TargetMode="External"/><Relationship Id="rId17" Type="http://schemas.openxmlformats.org/officeDocument/2006/relationships/hyperlink" Target="https://hshop.vn/day-cam-breadboard-duc-duc-20cm-cap-det-40-soi-m-m-jumper-wire" TargetMode="External"/><Relationship Id="rId16" Type="http://schemas.openxmlformats.org/officeDocument/2006/relationships/hyperlink" Target="https://hshop.vn/day-cam-breadboard-duc-cai-20cm-cap-det-40-soi-m-f-jumper-wire" TargetMode="External"/><Relationship Id="rId19" Type="http://schemas.openxmlformats.org/officeDocument/2006/relationships/hyperlink" Target="https://www.thegioiic.com/hop-pin-khay-pin-2x18650-co-cong-tac" TargetMode="External"/><Relationship Id="rId18" Type="http://schemas.openxmlformats.org/officeDocument/2006/relationships/hyperlink" Target="https://hshop.vn/bo-sac-pin-18650-li-ion-usb-battery-charger-yh-18650-4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pin-sac-18650-li-ion-rechargeable-battery-3-7v-2000mah-10c-20a-chinh-hang-lishen" TargetMode="External"/><Relationship Id="rId22" Type="http://schemas.openxmlformats.org/officeDocument/2006/relationships/hyperlink" Target="https://icdayroi.com/mach-cap-nguon-dc-dc-nhieu-dau-ra-3-3v-5v-12v" TargetMode="External"/><Relationship Id="rId21" Type="http://schemas.openxmlformats.org/officeDocument/2006/relationships/hyperlink" Target="https://hshop.vn/nguon-power-adaptor-ac-dc-12v-2a" TargetMode="External"/><Relationship Id="rId24" Type="http://schemas.openxmlformats.org/officeDocument/2006/relationships/hyperlink" Target="https://hshop.vn/cam-bien-anh-sang-quang-tro-2" TargetMode="External"/><Relationship Id="rId23" Type="http://schemas.openxmlformats.org/officeDocument/2006/relationships/hyperlink" Target="https://hshop.vn/cam-bien-sieu-am-srf04" TargetMode="External"/><Relationship Id="rId1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2" Type="http://schemas.openxmlformats.org/officeDocument/2006/relationships/hyperlink" Target="https://hshop.vn/kit-rf-thu-phat-wifi-ble-esp32-nodemcu-32s-ch340-ai-thinker" TargetMode="External"/><Relationship Id="rId3" Type="http://schemas.openxmlformats.org/officeDocument/2006/relationships/hyperlink" Target="https://hshop.vn/cap-micro-usb-to-usb-a-2-0-cable-30cm" TargetMode="External"/><Relationship Id="rId4" Type="http://schemas.openxmlformats.org/officeDocument/2006/relationships/hyperlink" Target="https://hshop.vn/arduino-uno-r3-smd-chip-don" TargetMode="External"/><Relationship Id="rId9" Type="http://schemas.openxmlformats.org/officeDocument/2006/relationships/hyperlink" Target="https://icdayroi.com/cong-tac-co-day-san-kcd1-101" TargetMode="External"/><Relationship Id="rId26" Type="http://schemas.openxmlformats.org/officeDocument/2006/relationships/hyperlink" Target="https://hshop.vn/cam-bien-mau-sac-tcs34725-giao-tiep-i2c-va-uart" TargetMode="External"/><Relationship Id="rId25" Type="http://schemas.openxmlformats.org/officeDocument/2006/relationships/hyperlink" Target="https://hshop.vn/cam-bien-1-cham-dien-dung-capacitive-touch-button-oe-tp-5-20vdc" TargetMode="External"/><Relationship Id="rId28" Type="http://schemas.openxmlformats.org/officeDocument/2006/relationships/drawing" Target="../drawings/drawing4.xml"/><Relationship Id="rId27" Type="http://schemas.openxmlformats.org/officeDocument/2006/relationships/hyperlink" Target="https://phongvu.vn/webcam-logitech-hd-c270--s1301831" TargetMode="External"/><Relationship Id="rId5" Type="http://schemas.openxmlformats.org/officeDocument/2006/relationships/hyperlink" Target="https://hshop.vn/cap-usb-b-to-usb-a-2-0-cable-30cm" TargetMode="External"/><Relationship Id="rId6" Type="http://schemas.openxmlformats.org/officeDocument/2006/relationships/hyperlink" Target="https://icdayroi.com/mach-led-giao-thong-5v" TargetMode="External"/><Relationship Id="rId7" Type="http://schemas.openxmlformats.org/officeDocument/2006/relationships/hyperlink" Target="https://hshop.vn/mach-hien-thi-1x8-led-display" TargetMode="External"/><Relationship Id="rId8" Type="http://schemas.openxmlformats.org/officeDocument/2006/relationships/hyperlink" Target="https://hshop.vn/ban-phim-cung-1x4-keypad" TargetMode="External"/><Relationship Id="rId11" Type="http://schemas.openxmlformats.org/officeDocument/2006/relationships/hyperlink" Target="https://hshop.vn/cum-dong-co-dc-giam-toc-tt-motor-kem-banh-xe-nhua-65mm" TargetMode="External"/><Relationship Id="rId10" Type="http://schemas.openxmlformats.org/officeDocument/2006/relationships/hyperlink" Target="https://hshop.vn/mach-coi-bao-mke-m03-buzzer-module" TargetMode="External"/><Relationship Id="rId13" Type="http://schemas.openxmlformats.org/officeDocument/2006/relationships/hyperlink" Target="https://hshop.vn/mach-dieu-khien-dong-co-dc-l298" TargetMode="External"/><Relationship Id="rId12" Type="http://schemas.openxmlformats.org/officeDocument/2006/relationships/hyperlink" Target="https://hshop.vn/dong-co-rc-servo-9g" TargetMode="External"/><Relationship Id="rId15" Type="http://schemas.openxmlformats.org/officeDocument/2006/relationships/hyperlink" Target="https://hshop.vn/day-cam-breadboard-cai-cai-20cm-bo-25-soi-don-loai-tot-f-f-jumper-wire" TargetMode="External"/><Relationship Id="rId14" Type="http://schemas.openxmlformats.org/officeDocument/2006/relationships/hyperlink" Target="https://hshop.vn/test-board-cammb-102" TargetMode="External"/><Relationship Id="rId17" Type="http://schemas.openxmlformats.org/officeDocument/2006/relationships/hyperlink" Target="https://hshop.vn/day-cam-breadboard-duc-duc-20cm-cap-det-40-soi-m-m-jumper-wire" TargetMode="External"/><Relationship Id="rId16" Type="http://schemas.openxmlformats.org/officeDocument/2006/relationships/hyperlink" Target="https://hshop.vn/day-cam-breadboard-duc-cai-20cm-cap-det-40-soi-m-f-jumper-wire" TargetMode="External"/><Relationship Id="rId19" Type="http://schemas.openxmlformats.org/officeDocument/2006/relationships/hyperlink" Target="https://www.thegioiic.com/hop-pin-khay-pin-2x18650-co-cong-tac" TargetMode="External"/><Relationship Id="rId18" Type="http://schemas.openxmlformats.org/officeDocument/2006/relationships/hyperlink" Target="https://hshop.vn/bo-sac-pin-18650-li-ion-usb-battery-charger-yh-18650-4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pin-sac-18650-li-ion-rechargeable-battery-3-7v-2000mah-10c-20a-chinh-hang-lishen" TargetMode="External"/><Relationship Id="rId22" Type="http://schemas.openxmlformats.org/officeDocument/2006/relationships/hyperlink" Target="https://icdayroi.com/mach-cap-nguon-dc-dc-nhieu-dau-ra-3-3v-5v-12v" TargetMode="External"/><Relationship Id="rId21" Type="http://schemas.openxmlformats.org/officeDocument/2006/relationships/hyperlink" Target="https://hshop.vn/nguon-power-adaptor-ac-dc-12v-2a" TargetMode="External"/><Relationship Id="rId24" Type="http://schemas.openxmlformats.org/officeDocument/2006/relationships/hyperlink" Target="https://hshop.vn/cam-bien-anh-sang-quang-tro-2" TargetMode="External"/><Relationship Id="rId23" Type="http://schemas.openxmlformats.org/officeDocument/2006/relationships/hyperlink" Target="https://hshop.vn/cam-bien-sieu-am-srf04" TargetMode="External"/><Relationship Id="rId1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2" Type="http://schemas.openxmlformats.org/officeDocument/2006/relationships/hyperlink" Target="https://hshop.vn/kit-rf-thu-phat-wifi-ble-esp32-nodemcu-32s-ch340-ai-thinker" TargetMode="External"/><Relationship Id="rId3" Type="http://schemas.openxmlformats.org/officeDocument/2006/relationships/hyperlink" Target="https://hshop.vn/cap-micro-usb-to-usb-a-2-0-cable-30cm" TargetMode="External"/><Relationship Id="rId4" Type="http://schemas.openxmlformats.org/officeDocument/2006/relationships/hyperlink" Target="https://hshop.vn/arduino-uno-r3-smd-chip-don" TargetMode="External"/><Relationship Id="rId9" Type="http://schemas.openxmlformats.org/officeDocument/2006/relationships/hyperlink" Target="https://icdayroi.com/cong-tac-co-day-san-kcd1-101" TargetMode="External"/><Relationship Id="rId26" Type="http://schemas.openxmlformats.org/officeDocument/2006/relationships/hyperlink" Target="https://hshop.vn/cam-bien-mau-sac-tcs34725-giao-tiep-i2c-va-uart" TargetMode="External"/><Relationship Id="rId25" Type="http://schemas.openxmlformats.org/officeDocument/2006/relationships/hyperlink" Target="https://hshop.vn/cam-bien-1-cham-dien-dung-capacitive-touch-button-oe-tp-5-20vdc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s://phongvu.vn/webcam-logitech-hd-c270--s1301831" TargetMode="External"/><Relationship Id="rId5" Type="http://schemas.openxmlformats.org/officeDocument/2006/relationships/hyperlink" Target="https://hshop.vn/cap-usb-b-to-usb-a-2-0-cable-30cm" TargetMode="External"/><Relationship Id="rId6" Type="http://schemas.openxmlformats.org/officeDocument/2006/relationships/hyperlink" Target="https://icdayroi.com/mach-led-giao-thong-5v" TargetMode="External"/><Relationship Id="rId7" Type="http://schemas.openxmlformats.org/officeDocument/2006/relationships/hyperlink" Target="https://hshop.vn/mach-hien-thi-1x8-led-display" TargetMode="External"/><Relationship Id="rId8" Type="http://schemas.openxmlformats.org/officeDocument/2006/relationships/hyperlink" Target="https://hshop.vn/ban-phim-cung-1x4-keypad" TargetMode="External"/><Relationship Id="rId11" Type="http://schemas.openxmlformats.org/officeDocument/2006/relationships/hyperlink" Target="https://hshop.vn/cum-dong-co-dc-giam-toc-tt-motor-kem-banh-xe-nhua-65mm" TargetMode="External"/><Relationship Id="rId10" Type="http://schemas.openxmlformats.org/officeDocument/2006/relationships/hyperlink" Target="https://hshop.vn/mach-coi-bao-mke-m03-buzzer-module" TargetMode="External"/><Relationship Id="rId13" Type="http://schemas.openxmlformats.org/officeDocument/2006/relationships/hyperlink" Target="https://hshop.vn/mach-dieu-khien-dong-co-dc-l298" TargetMode="External"/><Relationship Id="rId12" Type="http://schemas.openxmlformats.org/officeDocument/2006/relationships/hyperlink" Target="https://hshop.vn/dong-co-rc-servo-9g" TargetMode="External"/><Relationship Id="rId15" Type="http://schemas.openxmlformats.org/officeDocument/2006/relationships/hyperlink" Target="https://hshop.vn/day-cam-breadboard-cai-cai-20cm-bo-25-soi-don-loai-tot-f-f-jumper-wire" TargetMode="External"/><Relationship Id="rId14" Type="http://schemas.openxmlformats.org/officeDocument/2006/relationships/hyperlink" Target="https://hshop.vn/test-board-cammb-102" TargetMode="External"/><Relationship Id="rId17" Type="http://schemas.openxmlformats.org/officeDocument/2006/relationships/hyperlink" Target="https://hshop.vn/day-cam-breadboard-duc-duc-20cm-cap-det-40-soi-m-m-jumper-wire" TargetMode="External"/><Relationship Id="rId16" Type="http://schemas.openxmlformats.org/officeDocument/2006/relationships/hyperlink" Target="https://hshop.vn/day-cam-breadboard-duc-cai-20cm-cap-det-40-soi-m-f-jumper-wire" TargetMode="External"/><Relationship Id="rId19" Type="http://schemas.openxmlformats.org/officeDocument/2006/relationships/hyperlink" Target="https://www.thegioiic.com/hop-pin-khay-pin-2x18650-co-cong-tac" TargetMode="External"/><Relationship Id="rId18" Type="http://schemas.openxmlformats.org/officeDocument/2006/relationships/hyperlink" Target="https://hshop.vn/bo-sac-pin-18650-li-ion-usb-battery-charger-yh-18650-4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hshop.vn/pin-sac-18650-li-ion-rechargeable-battery-3-7v-2000mah-10c-20a-chinh-hang-lishen" TargetMode="External"/><Relationship Id="rId22" Type="http://schemas.openxmlformats.org/officeDocument/2006/relationships/hyperlink" Target="https://icdayroi.com/mach-cap-nguon-dc-dc-nhieu-dau-ra-3-3v-5v-12v" TargetMode="External"/><Relationship Id="rId21" Type="http://schemas.openxmlformats.org/officeDocument/2006/relationships/hyperlink" Target="https://hshop.vn/nguon-power-adaptor-ac-dc-12v-2a" TargetMode="External"/><Relationship Id="rId24" Type="http://schemas.openxmlformats.org/officeDocument/2006/relationships/hyperlink" Target="https://hshop.vn/cam-bien-anh-sang-quang-tro-2" TargetMode="External"/><Relationship Id="rId23" Type="http://schemas.openxmlformats.org/officeDocument/2006/relationships/hyperlink" Target="https://hshop.vn/cam-bien-sieu-am-srf04" TargetMode="External"/><Relationship Id="rId1" Type="http://schemas.openxmlformats.org/officeDocument/2006/relationships/hyperlink" Target="https://shopee.vn/%C4%90%E1%BB%93-Ch%C6%A1i-Gi%C3%A1o-D%E1%BB%A5c-%C4%90%E1%BB%93-Ch%C6%A1i-Ph%C3%A1t-Tri%E1%BB%83n-T%C6%B0-Duy-Khoa-H%E1%BB%8Dc-Cho-B%C3%A9-L%E1%BA%AFp-gh%C3%A9p-k%E1%BB%B9-thu%E1%BA%ADt-9686-i.1433328376.25589659144" TargetMode="External"/><Relationship Id="rId2" Type="http://schemas.openxmlformats.org/officeDocument/2006/relationships/hyperlink" Target="https://hshop.vn/kit-rf-thu-phat-wifi-ble-esp32-nodemcu-32s-ch340-ai-thinker" TargetMode="External"/><Relationship Id="rId3" Type="http://schemas.openxmlformats.org/officeDocument/2006/relationships/hyperlink" Target="https://hshop.vn/cap-micro-usb-to-usb-a-2-0-cable-30cm" TargetMode="External"/><Relationship Id="rId4" Type="http://schemas.openxmlformats.org/officeDocument/2006/relationships/hyperlink" Target="https://hshop.vn/arduino-uno-r3-smd-chip-don" TargetMode="External"/><Relationship Id="rId9" Type="http://schemas.openxmlformats.org/officeDocument/2006/relationships/hyperlink" Target="https://icdayroi.com/cong-tac-co-day-san-kcd1-101" TargetMode="External"/><Relationship Id="rId26" Type="http://schemas.openxmlformats.org/officeDocument/2006/relationships/hyperlink" Target="https://hshop.vn/cam-bien-mau-sac-tcs34725-giao-tiep-i2c-va-uart" TargetMode="External"/><Relationship Id="rId25" Type="http://schemas.openxmlformats.org/officeDocument/2006/relationships/hyperlink" Target="https://hshop.vn/cam-bien-1-cham-dien-dung-capacitive-touch-button-oe-tp-5-20vdc" TargetMode="External"/><Relationship Id="rId28" Type="http://schemas.openxmlformats.org/officeDocument/2006/relationships/hyperlink" Target="https://icdayroi.com/cam-bien-do-line-thanh-5-led" TargetMode="External"/><Relationship Id="rId27" Type="http://schemas.openxmlformats.org/officeDocument/2006/relationships/hyperlink" Target="https://phongvu.vn/webcam-logitech-hd-c270--s1301831" TargetMode="External"/><Relationship Id="rId5" Type="http://schemas.openxmlformats.org/officeDocument/2006/relationships/hyperlink" Target="https://hshop.vn/cap-usb-b-to-usb-a-2-0-cable-30cm" TargetMode="External"/><Relationship Id="rId6" Type="http://schemas.openxmlformats.org/officeDocument/2006/relationships/hyperlink" Target="https://icdayroi.com/mach-led-giao-thong-5v" TargetMode="External"/><Relationship Id="rId29" Type="http://schemas.openxmlformats.org/officeDocument/2006/relationships/drawing" Target="../drawings/drawing6.xml"/><Relationship Id="rId7" Type="http://schemas.openxmlformats.org/officeDocument/2006/relationships/hyperlink" Target="https://hshop.vn/mach-hien-thi-1x8-led-display" TargetMode="External"/><Relationship Id="rId8" Type="http://schemas.openxmlformats.org/officeDocument/2006/relationships/hyperlink" Target="https://hshop.vn/ban-phim-cung-1x4-keypad" TargetMode="External"/><Relationship Id="rId11" Type="http://schemas.openxmlformats.org/officeDocument/2006/relationships/hyperlink" Target="https://hshop.vn/cum-dong-co-dc-giam-toc-tt-motor-kem-banh-xe-nhua-65mm" TargetMode="External"/><Relationship Id="rId10" Type="http://schemas.openxmlformats.org/officeDocument/2006/relationships/hyperlink" Target="https://hshop.vn/mach-coi-bao-mke-m03-buzzer-module" TargetMode="External"/><Relationship Id="rId13" Type="http://schemas.openxmlformats.org/officeDocument/2006/relationships/hyperlink" Target="https://hshop.vn/mach-dieu-khien-dong-co-dc-l298" TargetMode="External"/><Relationship Id="rId12" Type="http://schemas.openxmlformats.org/officeDocument/2006/relationships/hyperlink" Target="https://hshop.vn/dong-co-rc-servo-9g" TargetMode="External"/><Relationship Id="rId15" Type="http://schemas.openxmlformats.org/officeDocument/2006/relationships/hyperlink" Target="https://hshop.vn/day-cam-breadboard-cai-cai-20cm-bo-25-soi-don-loai-tot-f-f-jumper-wire" TargetMode="External"/><Relationship Id="rId14" Type="http://schemas.openxmlformats.org/officeDocument/2006/relationships/hyperlink" Target="https://hshop.vn/test-board-cammb-102" TargetMode="External"/><Relationship Id="rId17" Type="http://schemas.openxmlformats.org/officeDocument/2006/relationships/hyperlink" Target="https://hshop.vn/day-cam-breadboard-duc-duc-20cm-cap-det-40-soi-m-m-jumper-wire" TargetMode="External"/><Relationship Id="rId16" Type="http://schemas.openxmlformats.org/officeDocument/2006/relationships/hyperlink" Target="https://hshop.vn/day-cam-breadboard-duc-cai-20cm-cap-det-40-soi-m-f-jumper-wire" TargetMode="External"/><Relationship Id="rId19" Type="http://schemas.openxmlformats.org/officeDocument/2006/relationships/hyperlink" Target="https://www.thegioiic.com/hop-pin-khay-pin-2x18650-co-cong-tac" TargetMode="External"/><Relationship Id="rId18" Type="http://schemas.openxmlformats.org/officeDocument/2006/relationships/hyperlink" Target="https://hshop.vn/bo-sac-pin-18650-li-ion-usb-battery-charger-yh-18650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59.5"/>
    <col customWidth="1" min="5" max="5" width="35.0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2" t="s">
        <v>1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6" t="s">
        <v>17</v>
      </c>
      <c r="C11" s="5" t="s">
        <v>18</v>
      </c>
      <c r="D11" s="1" t="s">
        <v>19</v>
      </c>
      <c r="E11" s="6"/>
    </row>
    <row r="12" ht="15.75" customHeight="1">
      <c r="B12" s="1"/>
    </row>
    <row r="13" ht="15.75" customHeight="1">
      <c r="A13" s="1" t="s">
        <v>20</v>
      </c>
    </row>
    <row r="14" ht="15.75" customHeight="1">
      <c r="A14" s="1"/>
    </row>
    <row r="15" ht="15.75" customHeight="1">
      <c r="B15" s="7" t="s">
        <v>21</v>
      </c>
      <c r="C15" s="7" t="s">
        <v>22</v>
      </c>
      <c r="D15" s="7" t="s">
        <v>23</v>
      </c>
      <c r="E15" s="7" t="s">
        <v>24</v>
      </c>
    </row>
    <row r="16" ht="15.75" customHeight="1">
      <c r="B16" s="8">
        <v>1.0</v>
      </c>
      <c r="C16" s="9" t="s">
        <v>25</v>
      </c>
      <c r="D16" s="9" t="s">
        <v>26</v>
      </c>
      <c r="E16" s="9" t="s">
        <v>27</v>
      </c>
    </row>
    <row r="17" ht="15.75" customHeight="1">
      <c r="B17" s="8">
        <v>2.0</v>
      </c>
      <c r="C17" s="9" t="s">
        <v>28</v>
      </c>
      <c r="D17" s="9" t="s">
        <v>29</v>
      </c>
      <c r="E17" s="9" t="s">
        <v>30</v>
      </c>
    </row>
    <row r="18" ht="15.75" customHeight="1">
      <c r="B18" s="8">
        <v>3.0</v>
      </c>
      <c r="C18" s="9" t="s">
        <v>31</v>
      </c>
      <c r="D18" s="9" t="s">
        <v>32</v>
      </c>
      <c r="E18" s="9" t="s">
        <v>33</v>
      </c>
    </row>
    <row r="19" ht="15.75" customHeight="1">
      <c r="B19" s="8">
        <v>4.0</v>
      </c>
      <c r="C19" s="9" t="s">
        <v>35</v>
      </c>
      <c r="D19" s="9" t="s">
        <v>36</v>
      </c>
      <c r="E19" s="9" t="s">
        <v>37</v>
      </c>
    </row>
    <row r="20" ht="15.75" customHeight="1">
      <c r="B20" s="8">
        <v>5.0</v>
      </c>
      <c r="C20" s="9" t="s">
        <v>38</v>
      </c>
      <c r="D20" s="9" t="s">
        <v>39</v>
      </c>
      <c r="E20" s="9" t="s">
        <v>40</v>
      </c>
    </row>
    <row r="21" ht="15.75" customHeight="1">
      <c r="B21" s="8">
        <v>6.0</v>
      </c>
      <c r="C21" s="9" t="s">
        <v>41</v>
      </c>
      <c r="D21" s="9" t="s">
        <v>42</v>
      </c>
      <c r="E21" s="9" t="s">
        <v>43</v>
      </c>
    </row>
    <row r="22" ht="15.75" customHeight="1">
      <c r="B22" s="8">
        <v>7.0</v>
      </c>
      <c r="C22" s="9" t="s">
        <v>44</v>
      </c>
      <c r="D22" s="9" t="s">
        <v>45</v>
      </c>
      <c r="E22" s="9" t="s">
        <v>46</v>
      </c>
    </row>
    <row r="23" ht="15.75" customHeight="1">
      <c r="B23" s="8">
        <v>8.0</v>
      </c>
      <c r="C23" s="9" t="s">
        <v>47</v>
      </c>
      <c r="D23" s="9" t="s">
        <v>48</v>
      </c>
      <c r="E23" s="9" t="s">
        <v>49</v>
      </c>
    </row>
    <row r="24" ht="15.75" customHeight="1">
      <c r="B24" s="8">
        <v>9.0</v>
      </c>
      <c r="C24" s="9" t="s">
        <v>50</v>
      </c>
      <c r="D24" s="9" t="s">
        <v>51</v>
      </c>
      <c r="E24" s="9" t="s">
        <v>52</v>
      </c>
    </row>
    <row r="25" ht="15.75" customHeight="1">
      <c r="B25" s="8">
        <v>10.0</v>
      </c>
      <c r="C25" s="9" t="s">
        <v>53</v>
      </c>
      <c r="D25" s="9" t="s">
        <v>54</v>
      </c>
      <c r="E25" s="9" t="s">
        <v>55</v>
      </c>
    </row>
    <row r="26" ht="15.75" customHeight="1">
      <c r="B26" s="8">
        <v>11.0</v>
      </c>
      <c r="C26" s="9" t="s">
        <v>56</v>
      </c>
      <c r="D26" s="9" t="s">
        <v>57</v>
      </c>
      <c r="E26" s="9" t="s">
        <v>58</v>
      </c>
    </row>
    <row r="27" ht="15.75" customHeight="1">
      <c r="B27" s="8">
        <v>12.0</v>
      </c>
      <c r="C27" s="9" t="s">
        <v>59</v>
      </c>
      <c r="D27" s="9" t="s">
        <v>60</v>
      </c>
      <c r="E27" s="9" t="s">
        <v>61</v>
      </c>
    </row>
    <row r="28" ht="15.75" customHeight="1">
      <c r="B28" s="8">
        <v>13.0</v>
      </c>
      <c r="C28" s="9" t="s">
        <v>62</v>
      </c>
      <c r="D28" s="9" t="s">
        <v>63</v>
      </c>
      <c r="E28" s="9" t="s">
        <v>64</v>
      </c>
    </row>
    <row r="29" ht="15.75" customHeight="1">
      <c r="B29" s="8">
        <v>14.0</v>
      </c>
      <c r="C29" s="9" t="s">
        <v>65</v>
      </c>
      <c r="D29" s="9" t="s">
        <v>66</v>
      </c>
      <c r="E29" s="9" t="s">
        <v>67</v>
      </c>
    </row>
    <row r="30" ht="15.75" customHeight="1">
      <c r="B30" s="8">
        <v>15.0</v>
      </c>
      <c r="C30" s="9" t="s">
        <v>68</v>
      </c>
      <c r="D30" s="9" t="s">
        <v>69</v>
      </c>
      <c r="E30" s="9" t="s">
        <v>70</v>
      </c>
    </row>
    <row r="31" ht="15.75" customHeight="1">
      <c r="B31" s="8">
        <v>16.0</v>
      </c>
      <c r="C31" s="9" t="s">
        <v>71</v>
      </c>
      <c r="D31" s="9" t="s">
        <v>72</v>
      </c>
      <c r="E31" s="9" t="s">
        <v>73</v>
      </c>
    </row>
    <row r="32" ht="15.75" customHeight="1"/>
    <row r="33" ht="15.75" customHeight="1">
      <c r="B33" s="1" t="s">
        <v>74</v>
      </c>
    </row>
    <row r="34" ht="15.75" customHeight="1">
      <c r="C34" s="1" t="s">
        <v>75</v>
      </c>
    </row>
    <row r="35" ht="15.75" customHeight="1">
      <c r="C35" s="1" t="s">
        <v>76</v>
      </c>
    </row>
    <row r="36" ht="15.75" customHeight="1">
      <c r="C36" s="1" t="s">
        <v>77</v>
      </c>
    </row>
    <row r="37" ht="15.75" customHeight="1"/>
    <row r="38" ht="15.75" customHeight="1">
      <c r="B38" s="1" t="s">
        <v>78</v>
      </c>
    </row>
    <row r="39" ht="15.75" customHeight="1"/>
    <row r="40" ht="15.75" customHeight="1">
      <c r="A40" s="1" t="s">
        <v>79</v>
      </c>
    </row>
    <row r="41" ht="15.75" customHeight="1"/>
    <row r="42" ht="15.75" customHeight="1">
      <c r="B42" s="3"/>
      <c r="C42" s="7" t="s">
        <v>80</v>
      </c>
      <c r="D42" s="7" t="s">
        <v>81</v>
      </c>
      <c r="E42" s="7" t="s">
        <v>82</v>
      </c>
      <c r="F42" s="7" t="s">
        <v>83</v>
      </c>
      <c r="G42" s="7" t="s">
        <v>84</v>
      </c>
      <c r="H42" s="3" t="s">
        <v>85</v>
      </c>
    </row>
    <row r="43" ht="15.75" customHeight="1">
      <c r="C43" s="9" t="s">
        <v>86</v>
      </c>
      <c r="D43" s="9" t="s">
        <v>87</v>
      </c>
      <c r="E43" s="9">
        <v>5.0</v>
      </c>
      <c r="F43" s="9">
        <v>450.0</v>
      </c>
      <c r="G43" s="9">
        <f t="shared" ref="G43:G64" si="1">F43*E43</f>
        <v>2250</v>
      </c>
      <c r="H43" s="15" t="s">
        <v>94</v>
      </c>
    </row>
    <row r="44" ht="15.75" customHeight="1">
      <c r="C44" s="9" t="s">
        <v>129</v>
      </c>
      <c r="D44" s="9" t="s">
        <v>131</v>
      </c>
      <c r="E44" s="9">
        <v>5.0</v>
      </c>
      <c r="F44" s="9">
        <v>190.0</v>
      </c>
      <c r="G44" s="9">
        <f t="shared" si="1"/>
        <v>950</v>
      </c>
      <c r="H44" s="15" t="s">
        <v>145</v>
      </c>
    </row>
    <row r="45" ht="15.75" customHeight="1">
      <c r="C45" s="9"/>
      <c r="D45" s="9" t="s">
        <v>178</v>
      </c>
      <c r="E45" s="9">
        <v>5.0</v>
      </c>
      <c r="F45" s="9">
        <v>27.0</v>
      </c>
      <c r="G45" s="9">
        <f t="shared" si="1"/>
        <v>135</v>
      </c>
      <c r="H45" s="15" t="s">
        <v>185</v>
      </c>
    </row>
    <row r="46" ht="15.75" customHeight="1">
      <c r="C46" s="9" t="s">
        <v>200</v>
      </c>
      <c r="D46" s="9" t="s">
        <v>203</v>
      </c>
      <c r="E46" s="9">
        <v>5.0</v>
      </c>
      <c r="F46" s="9">
        <v>105.0</v>
      </c>
      <c r="G46" s="9">
        <f t="shared" si="1"/>
        <v>525</v>
      </c>
      <c r="H46" s="15" t="s">
        <v>210</v>
      </c>
    </row>
    <row r="47" ht="15.75" customHeight="1">
      <c r="C47" s="9"/>
      <c r="D47" s="9" t="s">
        <v>178</v>
      </c>
      <c r="E47" s="9">
        <v>5.0</v>
      </c>
      <c r="F47" s="9">
        <v>27.0</v>
      </c>
      <c r="G47" s="9">
        <f t="shared" si="1"/>
        <v>135</v>
      </c>
      <c r="H47" s="15" t="s">
        <v>219</v>
      </c>
    </row>
    <row r="48" ht="15.75" customHeight="1">
      <c r="C48" s="17" t="s">
        <v>223</v>
      </c>
      <c r="D48" s="18" t="s">
        <v>224</v>
      </c>
      <c r="E48" s="9">
        <v>10.0</v>
      </c>
      <c r="F48" s="9">
        <v>10.0</v>
      </c>
      <c r="G48" s="9">
        <f t="shared" si="1"/>
        <v>100</v>
      </c>
      <c r="H48" s="15" t="s">
        <v>228</v>
      </c>
    </row>
    <row r="49" ht="15.75" customHeight="1">
      <c r="C49" s="9"/>
      <c r="D49" s="18" t="s">
        <v>232</v>
      </c>
      <c r="E49" s="9">
        <v>10.0</v>
      </c>
      <c r="F49" s="9">
        <v>13.0</v>
      </c>
      <c r="G49" s="9">
        <f t="shared" si="1"/>
        <v>130</v>
      </c>
      <c r="H49" s="20" t="s">
        <v>233</v>
      </c>
    </row>
    <row r="50" ht="15.75" customHeight="1">
      <c r="C50" s="9" t="s">
        <v>50</v>
      </c>
      <c r="D50" s="9" t="s">
        <v>238</v>
      </c>
      <c r="E50" s="9">
        <v>10.0</v>
      </c>
      <c r="F50" s="9">
        <v>10.0</v>
      </c>
      <c r="G50" s="9">
        <f t="shared" si="1"/>
        <v>100</v>
      </c>
      <c r="H50" s="15" t="s">
        <v>240</v>
      </c>
    </row>
    <row r="51" ht="15.75" customHeight="1">
      <c r="C51" s="9"/>
      <c r="D51" s="17" t="s">
        <v>241</v>
      </c>
      <c r="E51" s="9">
        <v>10.0</v>
      </c>
      <c r="F51" s="9">
        <v>5.5</v>
      </c>
      <c r="G51" s="9">
        <f t="shared" si="1"/>
        <v>55</v>
      </c>
      <c r="H51" s="15" t="s">
        <v>242</v>
      </c>
    </row>
    <row r="52" ht="15.75" customHeight="1">
      <c r="C52" s="9" t="s">
        <v>243</v>
      </c>
      <c r="D52" s="9" t="s">
        <v>244</v>
      </c>
      <c r="E52" s="9">
        <v>10.0</v>
      </c>
      <c r="F52" s="9">
        <v>25.0</v>
      </c>
      <c r="G52" s="9">
        <f t="shared" si="1"/>
        <v>250</v>
      </c>
      <c r="H52" s="15" t="s">
        <v>245</v>
      </c>
    </row>
    <row r="53" ht="15.75" customHeight="1">
      <c r="C53" s="9" t="s">
        <v>246</v>
      </c>
      <c r="D53" s="9" t="s">
        <v>247</v>
      </c>
      <c r="E53" s="9">
        <v>5.0</v>
      </c>
      <c r="F53" s="9">
        <v>35.0</v>
      </c>
      <c r="G53" s="9">
        <f t="shared" si="1"/>
        <v>175</v>
      </c>
      <c r="H53" s="15" t="s">
        <v>248</v>
      </c>
    </row>
    <row r="54" ht="15.75" customHeight="1">
      <c r="C54" s="9"/>
      <c r="D54" s="9" t="s">
        <v>249</v>
      </c>
      <c r="E54" s="9">
        <v>5.0</v>
      </c>
      <c r="F54" s="9">
        <v>42.0</v>
      </c>
      <c r="G54" s="9">
        <f t="shared" si="1"/>
        <v>210</v>
      </c>
      <c r="H54" s="15" t="s">
        <v>250</v>
      </c>
    </row>
    <row r="55" ht="15.75" customHeight="1">
      <c r="C55" s="9"/>
      <c r="D55" s="9" t="s">
        <v>252</v>
      </c>
      <c r="E55" s="9">
        <v>5.0</v>
      </c>
      <c r="F55" s="9">
        <v>45.0</v>
      </c>
      <c r="G55" s="9">
        <f t="shared" si="1"/>
        <v>225</v>
      </c>
      <c r="H55" s="15" t="s">
        <v>253</v>
      </c>
    </row>
    <row r="56" ht="15.75" customHeight="1">
      <c r="C56" s="9" t="s">
        <v>254</v>
      </c>
      <c r="D56" s="9" t="s">
        <v>255</v>
      </c>
      <c r="E56" s="9">
        <v>5.0</v>
      </c>
      <c r="F56" s="9">
        <v>35.0</v>
      </c>
      <c r="G56" s="9">
        <f t="shared" si="1"/>
        <v>175</v>
      </c>
      <c r="H56" s="15" t="s">
        <v>256</v>
      </c>
    </row>
    <row r="57" ht="15.75" customHeight="1">
      <c r="C57" s="9" t="s">
        <v>257</v>
      </c>
      <c r="D57" s="9" t="s">
        <v>258</v>
      </c>
      <c r="E57" s="9">
        <v>5.0</v>
      </c>
      <c r="F57" s="9">
        <v>28.0</v>
      </c>
      <c r="G57" s="9">
        <f t="shared" si="1"/>
        <v>140</v>
      </c>
      <c r="H57" s="15" t="s">
        <v>259</v>
      </c>
    </row>
    <row r="58" ht="15.75" customHeight="1">
      <c r="C58" s="9"/>
      <c r="D58" s="9" t="s">
        <v>260</v>
      </c>
      <c r="E58" s="9">
        <v>5.0</v>
      </c>
      <c r="F58" s="9">
        <v>30.0</v>
      </c>
      <c r="G58" s="9">
        <f t="shared" si="1"/>
        <v>150</v>
      </c>
      <c r="H58" s="15" t="s">
        <v>261</v>
      </c>
    </row>
    <row r="59" ht="15.75" customHeight="1">
      <c r="C59" s="9"/>
      <c r="D59" s="9" t="s">
        <v>262</v>
      </c>
      <c r="E59" s="9">
        <v>5.0</v>
      </c>
      <c r="F59" s="9">
        <v>30.0</v>
      </c>
      <c r="G59" s="9">
        <f t="shared" si="1"/>
        <v>150</v>
      </c>
      <c r="H59" s="15" t="s">
        <v>263</v>
      </c>
    </row>
    <row r="60" ht="15.75" customHeight="1">
      <c r="C60" s="9" t="s">
        <v>264</v>
      </c>
      <c r="D60" s="9" t="s">
        <v>265</v>
      </c>
      <c r="E60" s="9">
        <v>2.0</v>
      </c>
      <c r="F60" s="9">
        <v>68.0</v>
      </c>
      <c r="G60" s="9">
        <f t="shared" si="1"/>
        <v>136</v>
      </c>
      <c r="H60" s="15" t="s">
        <v>266</v>
      </c>
    </row>
    <row r="61" ht="15.75" customHeight="1">
      <c r="C61" s="9"/>
      <c r="D61" s="9" t="s">
        <v>267</v>
      </c>
      <c r="E61" s="9">
        <v>5.0</v>
      </c>
      <c r="F61" s="9">
        <v>14.0</v>
      </c>
      <c r="G61" s="9">
        <f t="shared" si="1"/>
        <v>70</v>
      </c>
      <c r="H61" s="15" t="s">
        <v>268</v>
      </c>
    </row>
    <row r="62" ht="15.75" customHeight="1">
      <c r="C62" s="9"/>
      <c r="D62" s="9" t="s">
        <v>264</v>
      </c>
      <c r="E62" s="9">
        <v>10.0</v>
      </c>
      <c r="F62" s="9">
        <v>46.0</v>
      </c>
      <c r="G62" s="9">
        <f t="shared" si="1"/>
        <v>460</v>
      </c>
      <c r="H62" s="15" t="s">
        <v>269</v>
      </c>
    </row>
    <row r="63" ht="15.75" customHeight="1">
      <c r="C63" s="9" t="s">
        <v>270</v>
      </c>
      <c r="D63" s="9" t="s">
        <v>271</v>
      </c>
      <c r="E63" s="9">
        <v>5.0</v>
      </c>
      <c r="F63" s="21">
        <v>65.0</v>
      </c>
      <c r="G63" s="9">
        <f t="shared" si="1"/>
        <v>325</v>
      </c>
      <c r="H63" s="15" t="s">
        <v>272</v>
      </c>
    </row>
    <row r="64" ht="15.75" customHeight="1">
      <c r="C64" s="9"/>
      <c r="D64" s="17" t="s">
        <v>273</v>
      </c>
      <c r="E64" s="9">
        <v>5.0</v>
      </c>
      <c r="F64" s="9">
        <v>32.0</v>
      </c>
      <c r="G64" s="9">
        <f t="shared" si="1"/>
        <v>160</v>
      </c>
      <c r="H64" s="15" t="s">
        <v>274</v>
      </c>
    </row>
    <row r="65" ht="15.75" customHeight="1">
      <c r="C65" s="22" t="s">
        <v>275</v>
      </c>
      <c r="D65" s="23"/>
      <c r="E65" s="23"/>
      <c r="F65" s="24"/>
      <c r="G65" s="25">
        <f>SUM(G43:G64)</f>
        <v>7006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C65:F65"/>
  </mergeCells>
  <hyperlinks>
    <hyperlink r:id="rId1" ref="H43"/>
    <hyperlink r:id="rId2" ref="H44"/>
    <hyperlink r:id="rId3" ref="H45"/>
    <hyperlink r:id="rId4" ref="H46"/>
    <hyperlink r:id="rId5" ref="H47"/>
    <hyperlink r:id="rId6" ref="H48"/>
    <hyperlink r:id="rId7" ref="H49"/>
    <hyperlink r:id="rId8" ref="H50"/>
    <hyperlink r:id="rId9" ref="H51"/>
    <hyperlink r:id="rId10" ref="H52"/>
    <hyperlink r:id="rId11" ref="H53"/>
    <hyperlink r:id="rId12" ref="H54"/>
    <hyperlink r:id="rId13" ref="H55"/>
    <hyperlink r:id="rId14" ref="H56"/>
    <hyperlink r:id="rId15" ref="H57"/>
    <hyperlink r:id="rId16" ref="H58"/>
    <hyperlink r:id="rId17" ref="H59"/>
    <hyperlink r:id="rId18" ref="H60"/>
    <hyperlink r:id="rId19" ref="H61"/>
    <hyperlink r:id="rId20" ref="H62"/>
    <hyperlink r:id="rId21" ref="H63"/>
    <hyperlink r:id="rId22" ref="H6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59.5"/>
    <col customWidth="1" min="5" max="5" width="37.63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34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6" t="s">
        <v>17</v>
      </c>
      <c r="C11" s="5" t="s">
        <v>18</v>
      </c>
      <c r="D11" s="1" t="s">
        <v>19</v>
      </c>
      <c r="E11" s="6"/>
    </row>
    <row r="12" ht="15.75" customHeight="1">
      <c r="B12" s="1"/>
    </row>
    <row r="13" ht="15.75" customHeight="1">
      <c r="A13" s="1" t="s">
        <v>20</v>
      </c>
    </row>
    <row r="14" ht="15.75" customHeight="1">
      <c r="A14" s="1"/>
    </row>
    <row r="15" ht="15.75" customHeight="1">
      <c r="B15" s="7" t="s">
        <v>21</v>
      </c>
      <c r="C15" s="7" t="s">
        <v>22</v>
      </c>
      <c r="D15" s="7" t="s">
        <v>23</v>
      </c>
      <c r="E15" s="7" t="s">
        <v>24</v>
      </c>
    </row>
    <row r="16" ht="15.75" customHeight="1">
      <c r="B16" s="10">
        <v>1.0</v>
      </c>
      <c r="C16" s="11" t="s">
        <v>25</v>
      </c>
      <c r="D16" s="11" t="s">
        <v>26</v>
      </c>
      <c r="E16" s="11" t="s">
        <v>27</v>
      </c>
      <c r="F16" s="12"/>
    </row>
    <row r="17" ht="15.75" customHeight="1">
      <c r="B17" s="10">
        <v>2.0</v>
      </c>
      <c r="C17" s="11" t="s">
        <v>90</v>
      </c>
      <c r="D17" s="11" t="s">
        <v>91</v>
      </c>
      <c r="E17" s="11" t="s">
        <v>92</v>
      </c>
      <c r="F17" s="13" t="s">
        <v>93</v>
      </c>
    </row>
    <row r="18" ht="15.75" customHeight="1">
      <c r="B18" s="10">
        <v>3.0</v>
      </c>
      <c r="C18" s="11" t="s">
        <v>31</v>
      </c>
      <c r="D18" s="11" t="s">
        <v>32</v>
      </c>
      <c r="E18" s="11" t="s">
        <v>33</v>
      </c>
      <c r="F18" s="14"/>
    </row>
    <row r="19" ht="15.75" customHeight="1">
      <c r="B19" s="10">
        <v>4.0</v>
      </c>
      <c r="C19" s="11" t="s">
        <v>35</v>
      </c>
      <c r="D19" s="11" t="s">
        <v>36</v>
      </c>
      <c r="E19" s="11" t="s">
        <v>37</v>
      </c>
      <c r="F19" s="14"/>
    </row>
    <row r="20" ht="15.75" customHeight="1">
      <c r="B20" s="10">
        <v>5.0</v>
      </c>
      <c r="C20" s="11" t="s">
        <v>41</v>
      </c>
      <c r="D20" s="11" t="s">
        <v>42</v>
      </c>
      <c r="E20" s="11" t="s">
        <v>43</v>
      </c>
      <c r="F20" s="14"/>
    </row>
    <row r="21" ht="15.75" customHeight="1">
      <c r="B21" s="10">
        <v>6.0</v>
      </c>
      <c r="C21" s="11" t="s">
        <v>136</v>
      </c>
      <c r="D21" s="11" t="s">
        <v>138</v>
      </c>
      <c r="E21" s="11" t="s">
        <v>139</v>
      </c>
      <c r="F21" s="14"/>
    </row>
    <row r="22" ht="15.75" customHeight="1">
      <c r="B22" s="16">
        <v>7.0</v>
      </c>
      <c r="C22" s="11" t="s">
        <v>44</v>
      </c>
      <c r="D22" s="11" t="s">
        <v>45</v>
      </c>
      <c r="E22" s="11" t="s">
        <v>46</v>
      </c>
      <c r="F22" s="14"/>
    </row>
    <row r="23" ht="15.75" customHeight="1">
      <c r="B23" s="16">
        <v>8.0</v>
      </c>
      <c r="C23" s="11" t="s">
        <v>47</v>
      </c>
      <c r="D23" s="11" t="s">
        <v>155</v>
      </c>
      <c r="E23" s="11" t="s">
        <v>156</v>
      </c>
      <c r="F23" s="14"/>
    </row>
    <row r="24" ht="15.75" customHeight="1">
      <c r="B24" s="10">
        <v>9.0</v>
      </c>
      <c r="C24" s="11" t="s">
        <v>161</v>
      </c>
      <c r="D24" s="11" t="s">
        <v>163</v>
      </c>
      <c r="E24" s="11" t="s">
        <v>164</v>
      </c>
      <c r="F24" s="13" t="s">
        <v>167</v>
      </c>
    </row>
    <row r="25" ht="15.75" customHeight="1">
      <c r="B25" s="10">
        <v>10.0</v>
      </c>
      <c r="C25" s="11" t="s">
        <v>50</v>
      </c>
      <c r="D25" s="11" t="s">
        <v>51</v>
      </c>
      <c r="E25" s="11" t="s">
        <v>52</v>
      </c>
      <c r="F25" s="14"/>
    </row>
    <row r="26" ht="15.75" customHeight="1">
      <c r="B26" s="10">
        <v>11.0</v>
      </c>
      <c r="C26" s="11" t="s">
        <v>204</v>
      </c>
      <c r="D26" s="11" t="s">
        <v>206</v>
      </c>
      <c r="E26" s="11" t="s">
        <v>207</v>
      </c>
      <c r="F26" s="13" t="s">
        <v>208</v>
      </c>
    </row>
    <row r="27" ht="15.75" customHeight="1">
      <c r="B27" s="10">
        <v>12.0</v>
      </c>
      <c r="C27" s="11" t="s">
        <v>218</v>
      </c>
      <c r="D27" s="11" t="s">
        <v>220</v>
      </c>
      <c r="E27" s="11" t="s">
        <v>221</v>
      </c>
      <c r="F27" s="13" t="s">
        <v>222</v>
      </c>
    </row>
    <row r="28" ht="15.75" customHeight="1">
      <c r="B28" s="10">
        <v>13.0</v>
      </c>
      <c r="C28" s="11" t="s">
        <v>59</v>
      </c>
      <c r="D28" s="11" t="s">
        <v>225</v>
      </c>
      <c r="E28" s="11" t="s">
        <v>226</v>
      </c>
      <c r="F28" s="14"/>
    </row>
    <row r="29" ht="15.75" customHeight="1">
      <c r="B29" s="10">
        <v>14.0</v>
      </c>
      <c r="C29" s="11" t="s">
        <v>227</v>
      </c>
      <c r="D29" s="11" t="s">
        <v>229</v>
      </c>
      <c r="E29" s="11" t="s">
        <v>230</v>
      </c>
      <c r="F29" s="13" t="s">
        <v>231</v>
      </c>
    </row>
    <row r="30" ht="15.75" customHeight="1">
      <c r="B30" s="16">
        <v>15.0</v>
      </c>
      <c r="C30" s="11" t="s">
        <v>68</v>
      </c>
      <c r="D30" s="11" t="s">
        <v>234</v>
      </c>
      <c r="E30" s="11" t="s">
        <v>235</v>
      </c>
      <c r="F30" s="14"/>
    </row>
    <row r="31" ht="15.75" customHeight="1">
      <c r="B31" s="10">
        <v>16.0</v>
      </c>
      <c r="C31" s="11" t="s">
        <v>71</v>
      </c>
      <c r="D31" s="11" t="s">
        <v>236</v>
      </c>
      <c r="E31" s="11" t="s">
        <v>237</v>
      </c>
      <c r="F31" s="19"/>
    </row>
    <row r="32" ht="15.75" customHeight="1"/>
    <row r="33" ht="15.75" customHeight="1">
      <c r="B33" s="1" t="s">
        <v>74</v>
      </c>
    </row>
    <row r="34" ht="15.75" customHeight="1">
      <c r="C34" s="1" t="s">
        <v>77</v>
      </c>
    </row>
    <row r="35" ht="15.75" customHeight="1"/>
    <row r="36" ht="15.75" customHeight="1">
      <c r="B36" s="1" t="s">
        <v>239</v>
      </c>
    </row>
    <row r="37" ht="15.75" customHeight="1"/>
    <row r="38" ht="15.75" customHeight="1">
      <c r="A38" s="1" t="s">
        <v>79</v>
      </c>
    </row>
    <row r="39" ht="15.75" customHeight="1"/>
    <row r="40" ht="15.75" customHeight="1">
      <c r="B40" s="3"/>
      <c r="C40" s="7" t="s">
        <v>80</v>
      </c>
      <c r="D40" s="7" t="s">
        <v>81</v>
      </c>
      <c r="E40" s="7" t="s">
        <v>82</v>
      </c>
      <c r="F40" s="7" t="s">
        <v>83</v>
      </c>
      <c r="G40" s="7" t="s">
        <v>84</v>
      </c>
      <c r="H40" s="3" t="s">
        <v>85</v>
      </c>
    </row>
    <row r="41" ht="15.75" customHeight="1">
      <c r="C41" s="9" t="s">
        <v>86</v>
      </c>
      <c r="D41" s="9" t="s">
        <v>87</v>
      </c>
      <c r="E41" s="9">
        <v>5.0</v>
      </c>
      <c r="F41" s="9">
        <v>450.0</v>
      </c>
      <c r="G41" s="9">
        <f t="shared" ref="G41:G62" si="1">F41*E41</f>
        <v>2250</v>
      </c>
      <c r="H41" s="15" t="s">
        <v>94</v>
      </c>
    </row>
    <row r="42" ht="15.75" customHeight="1">
      <c r="C42" s="9" t="s">
        <v>129</v>
      </c>
      <c r="D42" s="9" t="s">
        <v>131</v>
      </c>
      <c r="E42" s="9">
        <v>5.0</v>
      </c>
      <c r="F42" s="9">
        <v>190.0</v>
      </c>
      <c r="G42" s="9">
        <f t="shared" si="1"/>
        <v>950</v>
      </c>
      <c r="H42" s="15" t="s">
        <v>145</v>
      </c>
    </row>
    <row r="43" ht="15.75" customHeight="1">
      <c r="C43" s="9"/>
      <c r="D43" s="9" t="s">
        <v>178</v>
      </c>
      <c r="E43" s="9">
        <v>5.0</v>
      </c>
      <c r="F43" s="9">
        <v>27.0</v>
      </c>
      <c r="G43" s="9">
        <f t="shared" si="1"/>
        <v>135</v>
      </c>
      <c r="H43" s="15" t="s">
        <v>185</v>
      </c>
    </row>
    <row r="44" ht="15.75" customHeight="1">
      <c r="C44" s="9" t="s">
        <v>200</v>
      </c>
      <c r="D44" s="9" t="s">
        <v>203</v>
      </c>
      <c r="E44" s="9">
        <v>5.0</v>
      </c>
      <c r="F44" s="9">
        <v>105.0</v>
      </c>
      <c r="G44" s="9">
        <f t="shared" si="1"/>
        <v>525</v>
      </c>
      <c r="H44" s="15" t="s">
        <v>210</v>
      </c>
    </row>
    <row r="45" ht="15.75" customHeight="1">
      <c r="C45" s="9"/>
      <c r="D45" s="9" t="s">
        <v>178</v>
      </c>
      <c r="E45" s="9">
        <v>5.0</v>
      </c>
      <c r="F45" s="9">
        <v>27.0</v>
      </c>
      <c r="G45" s="9">
        <f t="shared" si="1"/>
        <v>135</v>
      </c>
      <c r="H45" s="15" t="s">
        <v>219</v>
      </c>
    </row>
    <row r="46" ht="15.75" customHeight="1">
      <c r="C46" s="17" t="s">
        <v>223</v>
      </c>
      <c r="D46" s="18" t="s">
        <v>224</v>
      </c>
      <c r="E46" s="9">
        <v>10.0</v>
      </c>
      <c r="F46" s="9">
        <v>10.0</v>
      </c>
      <c r="G46" s="9">
        <f t="shared" si="1"/>
        <v>100</v>
      </c>
      <c r="H46" s="15" t="s">
        <v>228</v>
      </c>
    </row>
    <row r="47" ht="15.75" customHeight="1">
      <c r="C47" s="9"/>
      <c r="D47" s="18" t="s">
        <v>232</v>
      </c>
      <c r="E47" s="9">
        <v>10.0</v>
      </c>
      <c r="F47" s="9">
        <v>13.0</v>
      </c>
      <c r="G47" s="9">
        <f t="shared" si="1"/>
        <v>130</v>
      </c>
      <c r="H47" s="20" t="s">
        <v>233</v>
      </c>
    </row>
    <row r="48" ht="15.75" customHeight="1">
      <c r="C48" s="9" t="s">
        <v>50</v>
      </c>
      <c r="D48" s="9" t="s">
        <v>238</v>
      </c>
      <c r="E48" s="9">
        <v>10.0</v>
      </c>
      <c r="F48" s="9">
        <v>10.0</v>
      </c>
      <c r="G48" s="9">
        <f t="shared" si="1"/>
        <v>100</v>
      </c>
      <c r="H48" s="15" t="s">
        <v>240</v>
      </c>
    </row>
    <row r="49" ht="15.75" customHeight="1">
      <c r="C49" s="9"/>
      <c r="D49" s="17" t="s">
        <v>241</v>
      </c>
      <c r="E49" s="9">
        <v>10.0</v>
      </c>
      <c r="F49" s="9">
        <v>5.5</v>
      </c>
      <c r="G49" s="9">
        <f t="shared" si="1"/>
        <v>55</v>
      </c>
      <c r="H49" s="15" t="s">
        <v>242</v>
      </c>
    </row>
    <row r="50" ht="15.75" customHeight="1">
      <c r="C50" s="9" t="s">
        <v>243</v>
      </c>
      <c r="D50" s="9" t="s">
        <v>244</v>
      </c>
      <c r="E50" s="9">
        <v>10.0</v>
      </c>
      <c r="F50" s="9">
        <v>25.0</v>
      </c>
      <c r="G50" s="9">
        <f t="shared" si="1"/>
        <v>250</v>
      </c>
      <c r="H50" s="15" t="s">
        <v>245</v>
      </c>
    </row>
    <row r="51" ht="15.75" customHeight="1">
      <c r="C51" s="9" t="s">
        <v>246</v>
      </c>
      <c r="D51" s="9" t="s">
        <v>247</v>
      </c>
      <c r="E51" s="9">
        <v>5.0</v>
      </c>
      <c r="F51" s="9">
        <v>35.0</v>
      </c>
      <c r="G51" s="9">
        <f t="shared" si="1"/>
        <v>175</v>
      </c>
      <c r="H51" s="15" t="s">
        <v>248</v>
      </c>
    </row>
    <row r="52" ht="15.75" customHeight="1">
      <c r="C52" s="9"/>
      <c r="D52" s="9" t="s">
        <v>249</v>
      </c>
      <c r="E52" s="9">
        <v>5.0</v>
      </c>
      <c r="F52" s="9">
        <v>42.0</v>
      </c>
      <c r="G52" s="9">
        <f t="shared" si="1"/>
        <v>210</v>
      </c>
      <c r="H52" s="15" t="s">
        <v>250</v>
      </c>
    </row>
    <row r="53" ht="15.75" customHeight="1">
      <c r="C53" s="9"/>
      <c r="D53" s="9" t="s">
        <v>252</v>
      </c>
      <c r="E53" s="9">
        <v>5.0</v>
      </c>
      <c r="F53" s="9">
        <v>45.0</v>
      </c>
      <c r="G53" s="9">
        <f t="shared" si="1"/>
        <v>225</v>
      </c>
      <c r="H53" s="15" t="s">
        <v>253</v>
      </c>
    </row>
    <row r="54" ht="15.75" customHeight="1">
      <c r="C54" s="9" t="s">
        <v>254</v>
      </c>
      <c r="D54" s="9" t="s">
        <v>255</v>
      </c>
      <c r="E54" s="9">
        <v>5.0</v>
      </c>
      <c r="F54" s="9">
        <v>35.0</v>
      </c>
      <c r="G54" s="9">
        <f t="shared" si="1"/>
        <v>175</v>
      </c>
      <c r="H54" s="15" t="s">
        <v>256</v>
      </c>
    </row>
    <row r="55" ht="15.75" customHeight="1">
      <c r="C55" s="9" t="s">
        <v>257</v>
      </c>
      <c r="D55" s="9" t="s">
        <v>258</v>
      </c>
      <c r="E55" s="9">
        <v>5.0</v>
      </c>
      <c r="F55" s="9">
        <v>28.0</v>
      </c>
      <c r="G55" s="9">
        <f t="shared" si="1"/>
        <v>140</v>
      </c>
      <c r="H55" s="15" t="s">
        <v>259</v>
      </c>
    </row>
    <row r="56" ht="15.75" customHeight="1">
      <c r="C56" s="9"/>
      <c r="D56" s="9" t="s">
        <v>260</v>
      </c>
      <c r="E56" s="9">
        <v>5.0</v>
      </c>
      <c r="F56" s="9">
        <v>30.0</v>
      </c>
      <c r="G56" s="9">
        <f t="shared" si="1"/>
        <v>150</v>
      </c>
      <c r="H56" s="15" t="s">
        <v>261</v>
      </c>
    </row>
    <row r="57" ht="15.75" customHeight="1">
      <c r="C57" s="9"/>
      <c r="D57" s="9" t="s">
        <v>262</v>
      </c>
      <c r="E57" s="9">
        <v>5.0</v>
      </c>
      <c r="F57" s="9">
        <v>30.0</v>
      </c>
      <c r="G57" s="9">
        <f t="shared" si="1"/>
        <v>150</v>
      </c>
      <c r="H57" s="15" t="s">
        <v>263</v>
      </c>
    </row>
    <row r="58" ht="15.75" customHeight="1">
      <c r="C58" s="9" t="s">
        <v>264</v>
      </c>
      <c r="D58" s="9" t="s">
        <v>265</v>
      </c>
      <c r="E58" s="9">
        <v>2.0</v>
      </c>
      <c r="F58" s="9">
        <v>68.0</v>
      </c>
      <c r="G58" s="9">
        <f t="shared" si="1"/>
        <v>136</v>
      </c>
      <c r="H58" s="15" t="s">
        <v>266</v>
      </c>
    </row>
    <row r="59" ht="15.75" customHeight="1">
      <c r="C59" s="9"/>
      <c r="D59" s="9" t="s">
        <v>267</v>
      </c>
      <c r="E59" s="9">
        <v>5.0</v>
      </c>
      <c r="F59" s="9">
        <v>14.0</v>
      </c>
      <c r="G59" s="9">
        <f t="shared" si="1"/>
        <v>70</v>
      </c>
      <c r="H59" s="15" t="s">
        <v>268</v>
      </c>
    </row>
    <row r="60" ht="15.75" customHeight="1">
      <c r="C60" s="9"/>
      <c r="D60" s="9" t="s">
        <v>264</v>
      </c>
      <c r="E60" s="9">
        <v>10.0</v>
      </c>
      <c r="F60" s="9">
        <v>46.0</v>
      </c>
      <c r="G60" s="9">
        <f t="shared" si="1"/>
        <v>460</v>
      </c>
      <c r="H60" s="15" t="s">
        <v>269</v>
      </c>
    </row>
    <row r="61" ht="15.75" customHeight="1">
      <c r="C61" s="9" t="s">
        <v>270</v>
      </c>
      <c r="D61" s="9" t="s">
        <v>271</v>
      </c>
      <c r="E61" s="9">
        <v>5.0</v>
      </c>
      <c r="F61" s="21">
        <v>65.0</v>
      </c>
      <c r="G61" s="9">
        <f t="shared" si="1"/>
        <v>325</v>
      </c>
      <c r="H61" s="15" t="s">
        <v>272</v>
      </c>
    </row>
    <row r="62" ht="15.75" customHeight="1">
      <c r="C62" s="9"/>
      <c r="D62" s="17" t="s">
        <v>273</v>
      </c>
      <c r="E62" s="9">
        <v>5.0</v>
      </c>
      <c r="F62" s="9">
        <v>32.0</v>
      </c>
      <c r="G62" s="9">
        <f t="shared" si="1"/>
        <v>160</v>
      </c>
      <c r="H62" s="15" t="s">
        <v>274</v>
      </c>
    </row>
    <row r="63" ht="15.75" customHeight="1">
      <c r="C63" s="22" t="s">
        <v>275</v>
      </c>
      <c r="D63" s="23"/>
      <c r="E63" s="23"/>
      <c r="F63" s="24"/>
      <c r="G63" s="25">
        <f>SUM(G41:G62)</f>
        <v>7006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">
    <mergeCell ref="C63:F63"/>
  </mergeCells>
  <hyperlinks>
    <hyperlink r:id="rId1" ref="F17"/>
    <hyperlink r:id="rId2" ref="F24"/>
    <hyperlink r:id="rId3" ref="F26"/>
    <hyperlink r:id="rId4" ref="F27"/>
    <hyperlink r:id="rId5" ref="F29"/>
    <hyperlink r:id="rId6" ref="H41"/>
    <hyperlink r:id="rId7" ref="H42"/>
    <hyperlink r:id="rId8" ref="H43"/>
    <hyperlink r:id="rId9" ref="H44"/>
    <hyperlink r:id="rId10" ref="H45"/>
    <hyperlink r:id="rId11" ref="H46"/>
    <hyperlink r:id="rId12" ref="H47"/>
    <hyperlink r:id="rId13" ref="H48"/>
    <hyperlink r:id="rId14" ref="H49"/>
    <hyperlink r:id="rId15" ref="H50"/>
    <hyperlink r:id="rId16" ref="H51"/>
    <hyperlink r:id="rId17" ref="H52"/>
    <hyperlink r:id="rId18" ref="H53"/>
    <hyperlink r:id="rId19" ref="H54"/>
    <hyperlink r:id="rId20" ref="H55"/>
    <hyperlink r:id="rId21" ref="H56"/>
    <hyperlink r:id="rId22" ref="H57"/>
    <hyperlink r:id="rId23" ref="H58"/>
    <hyperlink r:id="rId24" ref="H59"/>
    <hyperlink r:id="rId25" ref="H60"/>
    <hyperlink r:id="rId26" ref="H61"/>
    <hyperlink r:id="rId27" ref="H6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59.5"/>
    <col customWidth="1" min="5" max="5" width="32.5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88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1" t="s">
        <v>17</v>
      </c>
      <c r="C11" s="5" t="s">
        <v>18</v>
      </c>
      <c r="D11" s="1" t="s">
        <v>95</v>
      </c>
    </row>
    <row r="12" ht="15.75" customHeight="1"/>
    <row r="13" ht="15.75" customHeight="1">
      <c r="A13" s="1" t="s">
        <v>20</v>
      </c>
    </row>
    <row r="14" ht="15.75" customHeight="1">
      <c r="A14" s="1"/>
    </row>
    <row r="15" ht="15.75" customHeight="1">
      <c r="B15" s="7" t="s">
        <v>21</v>
      </c>
      <c r="C15" s="7" t="s">
        <v>22</v>
      </c>
      <c r="D15" s="7" t="s">
        <v>23</v>
      </c>
      <c r="E15" s="7" t="s">
        <v>24</v>
      </c>
    </row>
    <row r="16" ht="15.75" customHeight="1">
      <c r="B16" s="8">
        <v>1.0</v>
      </c>
      <c r="C16" s="9" t="s">
        <v>97</v>
      </c>
      <c r="D16" s="9" t="s">
        <v>98</v>
      </c>
      <c r="E16" s="9" t="s">
        <v>99</v>
      </c>
    </row>
    <row r="17" ht="15.75" customHeight="1">
      <c r="B17" s="8">
        <v>2.0</v>
      </c>
      <c r="C17" s="9" t="s">
        <v>101</v>
      </c>
      <c r="D17" s="9" t="s">
        <v>102</v>
      </c>
      <c r="E17" s="9" t="s">
        <v>104</v>
      </c>
    </row>
    <row r="18" ht="15.75" customHeight="1">
      <c r="B18" s="8">
        <v>3.0</v>
      </c>
      <c r="C18" s="9" t="s">
        <v>106</v>
      </c>
      <c r="D18" s="9" t="s">
        <v>108</v>
      </c>
      <c r="E18" s="9" t="s">
        <v>110</v>
      </c>
    </row>
    <row r="19" ht="15.75" customHeight="1">
      <c r="B19" s="8">
        <v>4.0</v>
      </c>
      <c r="C19" s="9" t="s">
        <v>35</v>
      </c>
      <c r="D19" s="9" t="s">
        <v>112</v>
      </c>
      <c r="E19" s="9" t="s">
        <v>113</v>
      </c>
    </row>
    <row r="20" ht="15.75" customHeight="1">
      <c r="B20" s="8">
        <v>5.0</v>
      </c>
      <c r="C20" s="9" t="s">
        <v>116</v>
      </c>
      <c r="D20" s="9" t="s">
        <v>118</v>
      </c>
      <c r="E20" s="9" t="s">
        <v>119</v>
      </c>
    </row>
    <row r="21" ht="15.75" customHeight="1">
      <c r="B21" s="8">
        <v>6.0</v>
      </c>
      <c r="C21" s="9" t="s">
        <v>123</v>
      </c>
      <c r="D21" s="9" t="s">
        <v>124</v>
      </c>
      <c r="E21" s="9" t="s">
        <v>125</v>
      </c>
    </row>
    <row r="22" ht="15.75" customHeight="1">
      <c r="B22" s="8">
        <v>7.0</v>
      </c>
      <c r="C22" s="9" t="s">
        <v>130</v>
      </c>
      <c r="D22" s="9" t="s">
        <v>132</v>
      </c>
      <c r="E22" s="9" t="s">
        <v>134</v>
      </c>
    </row>
    <row r="23" ht="15.75" customHeight="1">
      <c r="B23" s="8">
        <v>8.0</v>
      </c>
      <c r="C23" s="9" t="s">
        <v>47</v>
      </c>
      <c r="D23" s="9" t="s">
        <v>140</v>
      </c>
      <c r="E23" s="9" t="s">
        <v>141</v>
      </c>
    </row>
    <row r="24" ht="15.75" customHeight="1">
      <c r="B24" s="8">
        <v>9.0</v>
      </c>
      <c r="C24" s="9" t="s">
        <v>142</v>
      </c>
      <c r="D24" s="9" t="s">
        <v>143</v>
      </c>
      <c r="E24" s="9" t="s">
        <v>144</v>
      </c>
    </row>
    <row r="25" ht="15.75" customHeight="1">
      <c r="B25" s="8">
        <v>10.0</v>
      </c>
      <c r="C25" s="9" t="s">
        <v>146</v>
      </c>
      <c r="D25" s="9" t="s">
        <v>147</v>
      </c>
      <c r="E25" s="9" t="s">
        <v>148</v>
      </c>
    </row>
    <row r="26" ht="15.75" customHeight="1">
      <c r="B26" s="8">
        <v>11.0</v>
      </c>
      <c r="C26" s="9" t="s">
        <v>151</v>
      </c>
      <c r="D26" s="9" t="s">
        <v>153</v>
      </c>
      <c r="E26" s="9" t="s">
        <v>154</v>
      </c>
    </row>
    <row r="27" ht="15.75" customHeight="1">
      <c r="B27" s="8">
        <v>12.0</v>
      </c>
      <c r="C27" s="9" t="s">
        <v>59</v>
      </c>
      <c r="D27" s="9" t="s">
        <v>159</v>
      </c>
      <c r="E27" s="9" t="s">
        <v>162</v>
      </c>
    </row>
    <row r="28" ht="15.75" customHeight="1">
      <c r="B28" s="8">
        <v>13.0</v>
      </c>
      <c r="C28" s="9" t="s">
        <v>166</v>
      </c>
      <c r="D28" s="9" t="s">
        <v>168</v>
      </c>
      <c r="E28" s="9" t="s">
        <v>170</v>
      </c>
    </row>
    <row r="29" ht="15.75" customHeight="1">
      <c r="B29" s="8">
        <v>14.0</v>
      </c>
      <c r="C29" s="9" t="s">
        <v>172</v>
      </c>
      <c r="D29" s="9" t="s">
        <v>174</v>
      </c>
      <c r="E29" s="9" t="s">
        <v>177</v>
      </c>
    </row>
    <row r="30" ht="15.75" customHeight="1">
      <c r="B30" s="8">
        <v>15.0</v>
      </c>
      <c r="C30" s="9" t="s">
        <v>179</v>
      </c>
      <c r="D30" s="9" t="s">
        <v>181</v>
      </c>
      <c r="E30" s="9" t="s">
        <v>182</v>
      </c>
    </row>
    <row r="31" ht="15.75" customHeight="1">
      <c r="B31" s="8">
        <v>16.0</v>
      </c>
      <c r="C31" s="9" t="s">
        <v>71</v>
      </c>
      <c r="D31" s="9" t="s">
        <v>186</v>
      </c>
      <c r="E31" s="9" t="s">
        <v>188</v>
      </c>
    </row>
    <row r="32" ht="15.75" customHeight="1"/>
    <row r="33" ht="15.75" customHeight="1">
      <c r="B33" s="1" t="s">
        <v>74</v>
      </c>
    </row>
    <row r="34" ht="15.75" customHeight="1">
      <c r="C34" s="1" t="s">
        <v>193</v>
      </c>
    </row>
    <row r="35" ht="15.75" customHeight="1">
      <c r="C35" s="1" t="s">
        <v>195</v>
      </c>
    </row>
    <row r="36" ht="15.75" customHeight="1">
      <c r="C36" s="1" t="s">
        <v>196</v>
      </c>
    </row>
    <row r="37" ht="15.75" customHeight="1"/>
    <row r="38" ht="15.75" customHeight="1">
      <c r="B38" s="1" t="s">
        <v>201</v>
      </c>
    </row>
    <row r="39" ht="15.75" customHeight="1"/>
    <row r="40" ht="15.75" customHeight="1">
      <c r="A40" s="1" t="s">
        <v>79</v>
      </c>
    </row>
    <row r="41" ht="15.75" customHeight="1">
      <c r="A41" s="1"/>
    </row>
    <row r="42" ht="15.75" customHeight="1">
      <c r="B42" s="6" t="s">
        <v>212</v>
      </c>
    </row>
    <row r="43" ht="15.75" customHeight="1">
      <c r="B43" s="3"/>
      <c r="C43" s="7" t="s">
        <v>80</v>
      </c>
      <c r="D43" s="7" t="s">
        <v>81</v>
      </c>
      <c r="E43" s="7" t="s">
        <v>82</v>
      </c>
      <c r="F43" s="7" t="s">
        <v>83</v>
      </c>
      <c r="G43" s="7" t="s">
        <v>84</v>
      </c>
      <c r="H43" s="3" t="s">
        <v>85</v>
      </c>
    </row>
    <row r="44" ht="15.75" customHeight="1">
      <c r="C44" s="9" t="s">
        <v>86</v>
      </c>
      <c r="D44" s="9" t="s">
        <v>87</v>
      </c>
      <c r="E44" s="9">
        <v>5.0</v>
      </c>
      <c r="F44" s="9">
        <v>450.0</v>
      </c>
      <c r="G44" s="9">
        <f t="shared" ref="G44:G65" si="1">F44*E44</f>
        <v>2250</v>
      </c>
      <c r="H44" s="15" t="s">
        <v>94</v>
      </c>
    </row>
    <row r="45" ht="15.75" customHeight="1">
      <c r="C45" s="9" t="s">
        <v>129</v>
      </c>
      <c r="D45" s="9" t="s">
        <v>131</v>
      </c>
      <c r="E45" s="9">
        <v>5.0</v>
      </c>
      <c r="F45" s="9">
        <v>190.0</v>
      </c>
      <c r="G45" s="9">
        <f t="shared" si="1"/>
        <v>950</v>
      </c>
      <c r="H45" s="15" t="s">
        <v>145</v>
      </c>
    </row>
    <row r="46" ht="15.75" customHeight="1">
      <c r="C46" s="9"/>
      <c r="D46" s="9" t="s">
        <v>178</v>
      </c>
      <c r="E46" s="9">
        <v>5.0</v>
      </c>
      <c r="F46" s="9">
        <v>27.0</v>
      </c>
      <c r="G46" s="9">
        <f t="shared" si="1"/>
        <v>135</v>
      </c>
      <c r="H46" s="15" t="s">
        <v>185</v>
      </c>
    </row>
    <row r="47" ht="15.75" customHeight="1">
      <c r="C47" s="9" t="s">
        <v>200</v>
      </c>
      <c r="D47" s="9" t="s">
        <v>203</v>
      </c>
      <c r="E47" s="9">
        <v>5.0</v>
      </c>
      <c r="F47" s="9">
        <v>105.0</v>
      </c>
      <c r="G47" s="9">
        <f t="shared" si="1"/>
        <v>525</v>
      </c>
      <c r="H47" s="15" t="s">
        <v>210</v>
      </c>
    </row>
    <row r="48" ht="15.75" customHeight="1">
      <c r="C48" s="9"/>
      <c r="D48" s="9" t="s">
        <v>178</v>
      </c>
      <c r="E48" s="9">
        <v>5.0</v>
      </c>
      <c r="F48" s="9">
        <v>27.0</v>
      </c>
      <c r="G48" s="9">
        <f t="shared" si="1"/>
        <v>135</v>
      </c>
      <c r="H48" s="15" t="s">
        <v>219</v>
      </c>
    </row>
    <row r="49" ht="15.75" customHeight="1">
      <c r="C49" s="9" t="s">
        <v>223</v>
      </c>
      <c r="D49" s="9" t="s">
        <v>224</v>
      </c>
      <c r="E49" s="9">
        <v>10.0</v>
      </c>
      <c r="F49" s="9">
        <v>10.0</v>
      </c>
      <c r="G49" s="9">
        <f t="shared" si="1"/>
        <v>100</v>
      </c>
      <c r="H49" s="15" t="s">
        <v>228</v>
      </c>
    </row>
    <row r="50" ht="15.75" customHeight="1">
      <c r="C50" s="9"/>
      <c r="D50" s="9" t="s">
        <v>232</v>
      </c>
      <c r="E50" s="9">
        <v>10.0</v>
      </c>
      <c r="F50" s="9">
        <v>13.0</v>
      </c>
      <c r="G50" s="9">
        <f t="shared" si="1"/>
        <v>130</v>
      </c>
      <c r="H50" s="15" t="s">
        <v>251</v>
      </c>
    </row>
    <row r="51" ht="15.75" customHeight="1">
      <c r="C51" s="9" t="s">
        <v>50</v>
      </c>
      <c r="D51" s="9" t="s">
        <v>238</v>
      </c>
      <c r="E51" s="9">
        <v>10.0</v>
      </c>
      <c r="F51" s="9">
        <v>10.0</v>
      </c>
      <c r="G51" s="9">
        <f t="shared" si="1"/>
        <v>100</v>
      </c>
      <c r="H51" s="15" t="s">
        <v>240</v>
      </c>
    </row>
    <row r="52" ht="15.75" customHeight="1">
      <c r="C52" s="9"/>
      <c r="D52" s="9" t="s">
        <v>241</v>
      </c>
      <c r="E52" s="9">
        <v>10.0</v>
      </c>
      <c r="F52" s="9">
        <v>5.5</v>
      </c>
      <c r="G52" s="9">
        <f t="shared" si="1"/>
        <v>55</v>
      </c>
      <c r="H52" s="15" t="s">
        <v>242</v>
      </c>
    </row>
    <row r="53" ht="15.75" customHeight="1">
      <c r="C53" s="9" t="s">
        <v>243</v>
      </c>
      <c r="D53" s="9" t="s">
        <v>244</v>
      </c>
      <c r="E53" s="9">
        <v>10.0</v>
      </c>
      <c r="F53" s="9">
        <v>25.0</v>
      </c>
      <c r="G53" s="9">
        <f t="shared" si="1"/>
        <v>250</v>
      </c>
      <c r="H53" s="15" t="s">
        <v>245</v>
      </c>
    </row>
    <row r="54" ht="15.75" customHeight="1">
      <c r="C54" s="9" t="s">
        <v>246</v>
      </c>
      <c r="D54" s="9" t="s">
        <v>247</v>
      </c>
      <c r="E54" s="9">
        <v>5.0</v>
      </c>
      <c r="F54" s="9">
        <v>35.0</v>
      </c>
      <c r="G54" s="9">
        <f t="shared" si="1"/>
        <v>175</v>
      </c>
      <c r="H54" s="15" t="s">
        <v>248</v>
      </c>
    </row>
    <row r="55" ht="15.75" customHeight="1">
      <c r="C55" s="9"/>
      <c r="D55" s="9" t="s">
        <v>249</v>
      </c>
      <c r="E55" s="9">
        <v>5.0</v>
      </c>
      <c r="F55" s="9">
        <v>42.0</v>
      </c>
      <c r="G55" s="9">
        <f t="shared" si="1"/>
        <v>210</v>
      </c>
      <c r="H55" s="15" t="s">
        <v>250</v>
      </c>
    </row>
    <row r="56" ht="15.75" customHeight="1">
      <c r="C56" s="9"/>
      <c r="D56" s="9" t="s">
        <v>252</v>
      </c>
      <c r="E56" s="9">
        <v>5.0</v>
      </c>
      <c r="F56" s="9">
        <v>45.0</v>
      </c>
      <c r="G56" s="9">
        <f t="shared" si="1"/>
        <v>225</v>
      </c>
      <c r="H56" s="15" t="s">
        <v>253</v>
      </c>
    </row>
    <row r="57" ht="15.75" customHeight="1">
      <c r="C57" s="9" t="s">
        <v>254</v>
      </c>
      <c r="D57" s="9" t="s">
        <v>255</v>
      </c>
      <c r="E57" s="9">
        <v>5.0</v>
      </c>
      <c r="F57" s="9">
        <v>35.0</v>
      </c>
      <c r="G57" s="9">
        <f t="shared" si="1"/>
        <v>175</v>
      </c>
      <c r="H57" s="15" t="s">
        <v>256</v>
      </c>
    </row>
    <row r="58" ht="15.75" customHeight="1">
      <c r="C58" s="9" t="s">
        <v>257</v>
      </c>
      <c r="D58" s="9" t="s">
        <v>258</v>
      </c>
      <c r="E58" s="9">
        <v>5.0</v>
      </c>
      <c r="F58" s="9">
        <v>28.0</v>
      </c>
      <c r="G58" s="9">
        <f t="shared" si="1"/>
        <v>140</v>
      </c>
      <c r="H58" s="15" t="s">
        <v>259</v>
      </c>
    </row>
    <row r="59" ht="15.75" customHeight="1">
      <c r="C59" s="9"/>
      <c r="D59" s="9" t="s">
        <v>260</v>
      </c>
      <c r="E59" s="9">
        <v>5.0</v>
      </c>
      <c r="F59" s="9">
        <v>30.0</v>
      </c>
      <c r="G59" s="9">
        <f t="shared" si="1"/>
        <v>150</v>
      </c>
      <c r="H59" s="15" t="s">
        <v>261</v>
      </c>
    </row>
    <row r="60" ht="15.75" customHeight="1">
      <c r="C60" s="9"/>
      <c r="D60" s="9" t="s">
        <v>262</v>
      </c>
      <c r="E60" s="9">
        <v>5.0</v>
      </c>
      <c r="F60" s="9">
        <v>30.0</v>
      </c>
      <c r="G60" s="9">
        <f t="shared" si="1"/>
        <v>150</v>
      </c>
      <c r="H60" s="15" t="s">
        <v>263</v>
      </c>
    </row>
    <row r="61" ht="15.75" customHeight="1">
      <c r="C61" s="9" t="s">
        <v>264</v>
      </c>
      <c r="D61" s="9" t="s">
        <v>265</v>
      </c>
      <c r="E61" s="9">
        <v>2.0</v>
      </c>
      <c r="F61" s="9">
        <v>68.0</v>
      </c>
      <c r="G61" s="9">
        <f t="shared" si="1"/>
        <v>136</v>
      </c>
      <c r="H61" s="15" t="s">
        <v>266</v>
      </c>
    </row>
    <row r="62" ht="15.75" customHeight="1">
      <c r="C62" s="9"/>
      <c r="D62" s="9" t="s">
        <v>267</v>
      </c>
      <c r="E62" s="9">
        <v>5.0</v>
      </c>
      <c r="F62" s="9">
        <v>14.0</v>
      </c>
      <c r="G62" s="9">
        <f t="shared" si="1"/>
        <v>70</v>
      </c>
      <c r="H62" s="15" t="s">
        <v>268</v>
      </c>
    </row>
    <row r="63" ht="15.75" customHeight="1">
      <c r="C63" s="9"/>
      <c r="D63" s="9" t="s">
        <v>264</v>
      </c>
      <c r="E63" s="9">
        <v>10.0</v>
      </c>
      <c r="F63" s="9">
        <v>46.0</v>
      </c>
      <c r="G63" s="9">
        <f t="shared" si="1"/>
        <v>460</v>
      </c>
      <c r="H63" s="15" t="s">
        <v>269</v>
      </c>
    </row>
    <row r="64" ht="15.75" customHeight="1">
      <c r="C64" s="9" t="s">
        <v>270</v>
      </c>
      <c r="D64" s="9" t="s">
        <v>271</v>
      </c>
      <c r="E64" s="9">
        <v>5.0</v>
      </c>
      <c r="F64" s="9">
        <v>65.0</v>
      </c>
      <c r="G64" s="9">
        <f t="shared" si="1"/>
        <v>325</v>
      </c>
      <c r="H64" s="15" t="s">
        <v>272</v>
      </c>
    </row>
    <row r="65" ht="15.75" customHeight="1">
      <c r="C65" s="9"/>
      <c r="D65" s="9" t="s">
        <v>273</v>
      </c>
      <c r="E65" s="9">
        <v>5.0</v>
      </c>
      <c r="F65" s="9">
        <v>32.0</v>
      </c>
      <c r="G65" s="9">
        <f t="shared" si="1"/>
        <v>160</v>
      </c>
      <c r="H65" s="15" t="s">
        <v>274</v>
      </c>
    </row>
    <row r="66" ht="15.75" customHeight="1">
      <c r="C66" s="22" t="s">
        <v>275</v>
      </c>
      <c r="D66" s="23"/>
      <c r="E66" s="23"/>
      <c r="F66" s="24"/>
      <c r="G66" s="25">
        <f>SUM(G44:G65)</f>
        <v>7006</v>
      </c>
    </row>
    <row r="67" ht="15.75" customHeight="1">
      <c r="C67" s="3"/>
      <c r="D67" s="3"/>
      <c r="E67" s="3"/>
      <c r="F67" s="3"/>
      <c r="G67" s="26"/>
    </row>
    <row r="68" ht="15.75" customHeight="1">
      <c r="B68" s="6" t="s">
        <v>276</v>
      </c>
    </row>
    <row r="69" ht="15.75" customHeight="1">
      <c r="B69" s="3"/>
      <c r="C69" s="7" t="s">
        <v>80</v>
      </c>
      <c r="D69" s="7" t="s">
        <v>81</v>
      </c>
      <c r="E69" s="7" t="s">
        <v>82</v>
      </c>
      <c r="F69" s="7" t="s">
        <v>83</v>
      </c>
      <c r="G69" s="7" t="s">
        <v>84</v>
      </c>
      <c r="H69" s="3" t="s">
        <v>85</v>
      </c>
    </row>
    <row r="70" ht="15.75" customHeight="1">
      <c r="C70" s="9" t="s">
        <v>277</v>
      </c>
      <c r="D70" s="9" t="s">
        <v>278</v>
      </c>
      <c r="E70" s="9">
        <v>5.0</v>
      </c>
      <c r="F70" s="9">
        <v>27.0</v>
      </c>
      <c r="G70" s="9">
        <f t="shared" ref="G70:G73" si="2">F70*E70</f>
        <v>135</v>
      </c>
      <c r="H70" s="15" t="s">
        <v>279</v>
      </c>
    </row>
    <row r="71" ht="15.75" customHeight="1">
      <c r="C71" s="9"/>
      <c r="D71" s="9" t="s">
        <v>280</v>
      </c>
      <c r="E71" s="9">
        <v>5.0</v>
      </c>
      <c r="F71" s="9">
        <v>15.0</v>
      </c>
      <c r="G71" s="9">
        <f t="shared" si="2"/>
        <v>75</v>
      </c>
      <c r="H71" s="15" t="s">
        <v>281</v>
      </c>
    </row>
    <row r="72" ht="15.75" customHeight="1">
      <c r="C72" s="9"/>
      <c r="D72" s="9" t="s">
        <v>282</v>
      </c>
      <c r="E72" s="9">
        <v>5.0</v>
      </c>
      <c r="F72" s="9">
        <v>26.0</v>
      </c>
      <c r="G72" s="9">
        <f t="shared" si="2"/>
        <v>130</v>
      </c>
      <c r="H72" s="15" t="s">
        <v>283</v>
      </c>
    </row>
    <row r="73" ht="15.75" customHeight="1">
      <c r="C73" s="9"/>
      <c r="D73" s="9" t="s">
        <v>284</v>
      </c>
      <c r="E73" s="9">
        <v>5.0</v>
      </c>
      <c r="F73" s="9">
        <v>145.0</v>
      </c>
      <c r="G73" s="9">
        <f t="shared" si="2"/>
        <v>725</v>
      </c>
      <c r="H73" s="15" t="s">
        <v>285</v>
      </c>
    </row>
    <row r="74" ht="15.75" customHeight="1">
      <c r="C74" s="22" t="s">
        <v>275</v>
      </c>
      <c r="D74" s="23"/>
      <c r="E74" s="23"/>
      <c r="F74" s="24"/>
      <c r="G74" s="25">
        <f>SUM(G70:G73)</f>
        <v>1065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66:F66"/>
    <mergeCell ref="C74:F74"/>
  </mergeCells>
  <hyperlinks>
    <hyperlink r:id="rId1" ref="H44"/>
    <hyperlink r:id="rId2" ref="H45"/>
    <hyperlink r:id="rId3" ref="H46"/>
    <hyperlink r:id="rId4" ref="H47"/>
    <hyperlink r:id="rId5" ref="H48"/>
    <hyperlink r:id="rId6" ref="H49"/>
    <hyperlink r:id="rId7" ref="H50"/>
    <hyperlink r:id="rId8" ref="H51"/>
    <hyperlink r:id="rId9" ref="H52"/>
    <hyperlink r:id="rId10" ref="H53"/>
    <hyperlink r:id="rId11" ref="H54"/>
    <hyperlink r:id="rId12" ref="H55"/>
    <hyperlink r:id="rId13" ref="H56"/>
    <hyperlink r:id="rId14" ref="H57"/>
    <hyperlink r:id="rId15" ref="H58"/>
    <hyperlink r:id="rId16" ref="H59"/>
    <hyperlink r:id="rId17" ref="H60"/>
    <hyperlink r:id="rId18" ref="H61"/>
    <hyperlink r:id="rId19" ref="H62"/>
    <hyperlink r:id="rId20" ref="H63"/>
    <hyperlink r:id="rId21" ref="H64"/>
    <hyperlink r:id="rId22" ref="H65"/>
    <hyperlink r:id="rId23" ref="H70"/>
    <hyperlink r:id="rId24" ref="H71"/>
    <hyperlink r:id="rId25" ref="H72"/>
    <hyperlink r:id="rId26" ref="H7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67.75"/>
    <col customWidth="1" min="5" max="5" width="40.13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89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1" t="s">
        <v>17</v>
      </c>
      <c r="C11" s="5" t="s">
        <v>18</v>
      </c>
      <c r="D11" s="1" t="s">
        <v>95</v>
      </c>
    </row>
    <row r="12" ht="15.75" customHeight="1"/>
    <row r="13" ht="15.75" customHeight="1">
      <c r="B13" s="1" t="s">
        <v>96</v>
      </c>
    </row>
    <row r="14" ht="15.75" customHeight="1"/>
    <row r="15" ht="15.75" customHeight="1">
      <c r="A15" s="1" t="s">
        <v>20</v>
      </c>
    </row>
    <row r="16" ht="15.75" customHeight="1">
      <c r="A16" s="1"/>
    </row>
    <row r="17" ht="15.75" customHeight="1">
      <c r="B17" s="7" t="s">
        <v>21</v>
      </c>
      <c r="C17" s="7" t="s">
        <v>22</v>
      </c>
      <c r="D17" s="7" t="s">
        <v>23</v>
      </c>
      <c r="E17" s="7" t="s">
        <v>24</v>
      </c>
    </row>
    <row r="18" ht="15.75" customHeight="1">
      <c r="B18" s="8">
        <v>1.0</v>
      </c>
      <c r="C18" s="9" t="s">
        <v>100</v>
      </c>
      <c r="D18" s="9" t="s">
        <v>103</v>
      </c>
      <c r="E18" s="9" t="s">
        <v>105</v>
      </c>
    </row>
    <row r="19" ht="15.75" customHeight="1">
      <c r="B19" s="8">
        <v>2.0</v>
      </c>
      <c r="C19" s="9" t="s">
        <v>107</v>
      </c>
      <c r="D19" s="9" t="s">
        <v>109</v>
      </c>
      <c r="E19" s="9" t="s">
        <v>111</v>
      </c>
    </row>
    <row r="20" ht="15.75" customHeight="1">
      <c r="B20" s="8">
        <v>3.0</v>
      </c>
      <c r="C20" s="9" t="s">
        <v>114</v>
      </c>
      <c r="D20" s="9" t="s">
        <v>115</v>
      </c>
      <c r="E20" s="9" t="s">
        <v>117</v>
      </c>
    </row>
    <row r="21" ht="15.75" customHeight="1">
      <c r="B21" s="8">
        <v>4.0</v>
      </c>
      <c r="C21" s="9" t="s">
        <v>120</v>
      </c>
      <c r="D21" s="9" t="s">
        <v>121</v>
      </c>
      <c r="E21" s="9" t="s">
        <v>122</v>
      </c>
    </row>
    <row r="22" ht="15.75" customHeight="1">
      <c r="B22" s="8">
        <v>5.0</v>
      </c>
      <c r="C22" s="9" t="s">
        <v>126</v>
      </c>
      <c r="D22" s="9" t="s">
        <v>127</v>
      </c>
      <c r="E22" s="9" t="s">
        <v>128</v>
      </c>
    </row>
    <row r="23" ht="15.75" customHeight="1">
      <c r="B23" s="8">
        <v>6.0</v>
      </c>
      <c r="C23" s="9" t="s">
        <v>133</v>
      </c>
      <c r="D23" s="9" t="s">
        <v>135</v>
      </c>
      <c r="E23" s="9" t="s">
        <v>137</v>
      </c>
    </row>
    <row r="24" ht="15.75" customHeight="1">
      <c r="B24" s="8">
        <v>7.0</v>
      </c>
      <c r="C24" s="9" t="s">
        <v>149</v>
      </c>
      <c r="D24" s="9" t="s">
        <v>150</v>
      </c>
      <c r="E24" s="9" t="s">
        <v>152</v>
      </c>
    </row>
    <row r="25" ht="15.75" customHeight="1">
      <c r="B25" s="8">
        <v>8.0</v>
      </c>
      <c r="C25" s="9" t="s">
        <v>157</v>
      </c>
      <c r="D25" s="9" t="s">
        <v>158</v>
      </c>
      <c r="E25" s="9" t="s">
        <v>160</v>
      </c>
    </row>
    <row r="26" ht="15.75" customHeight="1">
      <c r="B26" s="8">
        <v>9.0</v>
      </c>
      <c r="C26" s="9" t="s">
        <v>165</v>
      </c>
      <c r="D26" s="9" t="s">
        <v>169</v>
      </c>
      <c r="E26" s="9" t="s">
        <v>171</v>
      </c>
    </row>
    <row r="27" ht="15.75" customHeight="1">
      <c r="B27" s="8">
        <v>10.0</v>
      </c>
      <c r="C27" s="9" t="s">
        <v>173</v>
      </c>
      <c r="D27" s="9" t="s">
        <v>175</v>
      </c>
      <c r="E27" s="9" t="s">
        <v>176</v>
      </c>
    </row>
    <row r="28" ht="15.75" customHeight="1">
      <c r="B28" s="8">
        <v>11.0</v>
      </c>
      <c r="C28" s="9" t="s">
        <v>180</v>
      </c>
      <c r="D28" s="9" t="s">
        <v>183</v>
      </c>
      <c r="E28" s="9" t="s">
        <v>184</v>
      </c>
    </row>
    <row r="29" ht="15.75" customHeight="1">
      <c r="B29" s="8">
        <v>12.0</v>
      </c>
      <c r="C29" s="9" t="s">
        <v>187</v>
      </c>
      <c r="D29" s="9" t="s">
        <v>189</v>
      </c>
      <c r="E29" s="9" t="s">
        <v>190</v>
      </c>
    </row>
    <row r="30" ht="15.75" customHeight="1">
      <c r="B30" s="8">
        <v>13.0</v>
      </c>
      <c r="C30" s="9" t="s">
        <v>191</v>
      </c>
      <c r="D30" s="9" t="s">
        <v>192</v>
      </c>
      <c r="E30" s="9" t="s">
        <v>194</v>
      </c>
    </row>
    <row r="31" ht="15.75" customHeight="1">
      <c r="B31" s="8">
        <v>14.0</v>
      </c>
      <c r="C31" s="9" t="s">
        <v>179</v>
      </c>
      <c r="D31" s="9" t="s">
        <v>197</v>
      </c>
      <c r="E31" s="9" t="s">
        <v>198</v>
      </c>
    </row>
    <row r="32" ht="15.75" customHeight="1">
      <c r="B32" s="8">
        <v>15.0</v>
      </c>
      <c r="C32" s="9" t="s">
        <v>199</v>
      </c>
      <c r="D32" s="9" t="s">
        <v>202</v>
      </c>
      <c r="E32" s="9" t="s">
        <v>205</v>
      </c>
    </row>
    <row r="33" ht="15.75" customHeight="1">
      <c r="B33" s="8">
        <v>16.0</v>
      </c>
      <c r="C33" s="9" t="s">
        <v>71</v>
      </c>
      <c r="D33" s="9" t="s">
        <v>209</v>
      </c>
      <c r="E33" s="9" t="s">
        <v>211</v>
      </c>
    </row>
    <row r="34" ht="15.75" customHeight="1"/>
    <row r="35" ht="15.75" customHeight="1">
      <c r="B35" s="1" t="s">
        <v>213</v>
      </c>
    </row>
    <row r="36" ht="15.75" customHeight="1">
      <c r="C36" s="1" t="s">
        <v>214</v>
      </c>
    </row>
    <row r="37" ht="15.75" customHeight="1">
      <c r="C37" s="1" t="s">
        <v>215</v>
      </c>
    </row>
    <row r="38" ht="15.75" customHeight="1">
      <c r="C38" s="1" t="s">
        <v>216</v>
      </c>
    </row>
    <row r="39" ht="15.75" customHeight="1"/>
    <row r="40" ht="15.75" customHeight="1">
      <c r="B40" s="1" t="s">
        <v>217</v>
      </c>
    </row>
    <row r="41" ht="15.75" customHeight="1"/>
    <row r="42" ht="15.75" customHeight="1">
      <c r="A42" s="1" t="s">
        <v>79</v>
      </c>
    </row>
    <row r="43" ht="15.75" customHeight="1">
      <c r="A43" s="1"/>
    </row>
    <row r="44" ht="15.75" customHeight="1">
      <c r="B44" s="6" t="s">
        <v>212</v>
      </c>
    </row>
    <row r="45" ht="15.75" customHeight="1">
      <c r="B45" s="3"/>
      <c r="C45" s="7" t="s">
        <v>80</v>
      </c>
      <c r="D45" s="7" t="s">
        <v>81</v>
      </c>
      <c r="E45" s="7" t="s">
        <v>82</v>
      </c>
      <c r="F45" s="7" t="s">
        <v>83</v>
      </c>
      <c r="G45" s="7" t="s">
        <v>84</v>
      </c>
      <c r="H45" s="3" t="s">
        <v>85</v>
      </c>
    </row>
    <row r="46" ht="15.75" customHeight="1">
      <c r="C46" s="9" t="s">
        <v>86</v>
      </c>
      <c r="D46" s="9" t="s">
        <v>87</v>
      </c>
      <c r="E46" s="9">
        <v>5.0</v>
      </c>
      <c r="F46" s="9">
        <v>450.0</v>
      </c>
      <c r="G46" s="9">
        <f t="shared" ref="G46:G67" si="1">F46*E46</f>
        <v>2250</v>
      </c>
      <c r="H46" s="15" t="s">
        <v>94</v>
      </c>
    </row>
    <row r="47" ht="15.75" customHeight="1">
      <c r="C47" s="9" t="s">
        <v>129</v>
      </c>
      <c r="D47" s="9" t="s">
        <v>131</v>
      </c>
      <c r="E47" s="9">
        <v>5.0</v>
      </c>
      <c r="F47" s="9">
        <v>190.0</v>
      </c>
      <c r="G47" s="9">
        <f t="shared" si="1"/>
        <v>950</v>
      </c>
      <c r="H47" s="15" t="s">
        <v>145</v>
      </c>
    </row>
    <row r="48" ht="15.75" customHeight="1">
      <c r="C48" s="9"/>
      <c r="D48" s="9" t="s">
        <v>178</v>
      </c>
      <c r="E48" s="9">
        <v>5.0</v>
      </c>
      <c r="F48" s="9">
        <v>27.0</v>
      </c>
      <c r="G48" s="9">
        <f t="shared" si="1"/>
        <v>135</v>
      </c>
      <c r="H48" s="15" t="s">
        <v>185</v>
      </c>
    </row>
    <row r="49" ht="15.75" customHeight="1">
      <c r="C49" s="9" t="s">
        <v>200</v>
      </c>
      <c r="D49" s="9" t="s">
        <v>203</v>
      </c>
      <c r="E49" s="9">
        <v>5.0</v>
      </c>
      <c r="F49" s="9">
        <v>105.0</v>
      </c>
      <c r="G49" s="9">
        <f t="shared" si="1"/>
        <v>525</v>
      </c>
      <c r="H49" s="15" t="s">
        <v>210</v>
      </c>
    </row>
    <row r="50" ht="15.75" customHeight="1">
      <c r="C50" s="9"/>
      <c r="D50" s="9" t="s">
        <v>178</v>
      </c>
      <c r="E50" s="9">
        <v>5.0</v>
      </c>
      <c r="F50" s="9">
        <v>27.0</v>
      </c>
      <c r="G50" s="9">
        <f t="shared" si="1"/>
        <v>135</v>
      </c>
      <c r="H50" s="15" t="s">
        <v>219</v>
      </c>
    </row>
    <row r="51" ht="15.75" customHeight="1">
      <c r="C51" s="9" t="s">
        <v>223</v>
      </c>
      <c r="D51" s="9" t="s">
        <v>224</v>
      </c>
      <c r="E51" s="9">
        <v>10.0</v>
      </c>
      <c r="F51" s="9">
        <v>10.0</v>
      </c>
      <c r="G51" s="9">
        <f t="shared" si="1"/>
        <v>100</v>
      </c>
      <c r="H51" s="15" t="s">
        <v>228</v>
      </c>
    </row>
    <row r="52" ht="15.75" customHeight="1">
      <c r="C52" s="9"/>
      <c r="D52" s="9" t="s">
        <v>232</v>
      </c>
      <c r="E52" s="9">
        <v>10.0</v>
      </c>
      <c r="F52" s="9">
        <v>13.0</v>
      </c>
      <c r="G52" s="9">
        <f t="shared" si="1"/>
        <v>130</v>
      </c>
      <c r="H52" s="15" t="s">
        <v>251</v>
      </c>
    </row>
    <row r="53" ht="15.75" customHeight="1">
      <c r="C53" s="9" t="s">
        <v>50</v>
      </c>
      <c r="D53" s="9" t="s">
        <v>238</v>
      </c>
      <c r="E53" s="9">
        <v>10.0</v>
      </c>
      <c r="F53" s="9">
        <v>10.0</v>
      </c>
      <c r="G53" s="9">
        <f t="shared" si="1"/>
        <v>100</v>
      </c>
      <c r="H53" s="15" t="s">
        <v>240</v>
      </c>
    </row>
    <row r="54" ht="15.75" customHeight="1">
      <c r="C54" s="9"/>
      <c r="D54" s="9" t="s">
        <v>241</v>
      </c>
      <c r="E54" s="9">
        <v>10.0</v>
      </c>
      <c r="F54" s="9">
        <v>5.5</v>
      </c>
      <c r="G54" s="9">
        <f t="shared" si="1"/>
        <v>55</v>
      </c>
      <c r="H54" s="15" t="s">
        <v>242</v>
      </c>
    </row>
    <row r="55" ht="15.75" customHeight="1">
      <c r="C55" s="9" t="s">
        <v>243</v>
      </c>
      <c r="D55" s="9" t="s">
        <v>244</v>
      </c>
      <c r="E55" s="9">
        <v>10.0</v>
      </c>
      <c r="F55" s="9">
        <v>25.0</v>
      </c>
      <c r="G55" s="9">
        <f t="shared" si="1"/>
        <v>250</v>
      </c>
      <c r="H55" s="15" t="s">
        <v>245</v>
      </c>
    </row>
    <row r="56" ht="15.75" customHeight="1">
      <c r="C56" s="9" t="s">
        <v>246</v>
      </c>
      <c r="D56" s="9" t="s">
        <v>247</v>
      </c>
      <c r="E56" s="9">
        <v>5.0</v>
      </c>
      <c r="F56" s="9">
        <v>35.0</v>
      </c>
      <c r="G56" s="9">
        <f t="shared" si="1"/>
        <v>175</v>
      </c>
      <c r="H56" s="15" t="s">
        <v>248</v>
      </c>
    </row>
    <row r="57" ht="15.75" customHeight="1">
      <c r="C57" s="9"/>
      <c r="D57" s="9" t="s">
        <v>249</v>
      </c>
      <c r="E57" s="9">
        <v>5.0</v>
      </c>
      <c r="F57" s="9">
        <v>42.0</v>
      </c>
      <c r="G57" s="9">
        <f t="shared" si="1"/>
        <v>210</v>
      </c>
      <c r="H57" s="15" t="s">
        <v>250</v>
      </c>
    </row>
    <row r="58" ht="15.75" customHeight="1">
      <c r="C58" s="9"/>
      <c r="D58" s="9" t="s">
        <v>252</v>
      </c>
      <c r="E58" s="9">
        <v>5.0</v>
      </c>
      <c r="F58" s="9">
        <v>45.0</v>
      </c>
      <c r="G58" s="9">
        <f t="shared" si="1"/>
        <v>225</v>
      </c>
      <c r="H58" s="15" t="s">
        <v>253</v>
      </c>
    </row>
    <row r="59" ht="15.75" customHeight="1">
      <c r="C59" s="9" t="s">
        <v>254</v>
      </c>
      <c r="D59" s="9" t="s">
        <v>255</v>
      </c>
      <c r="E59" s="9">
        <v>5.0</v>
      </c>
      <c r="F59" s="9">
        <v>35.0</v>
      </c>
      <c r="G59" s="9">
        <f t="shared" si="1"/>
        <v>175</v>
      </c>
      <c r="H59" s="15" t="s">
        <v>256</v>
      </c>
    </row>
    <row r="60" ht="15.75" customHeight="1">
      <c r="C60" s="9" t="s">
        <v>257</v>
      </c>
      <c r="D60" s="9" t="s">
        <v>258</v>
      </c>
      <c r="E60" s="9">
        <v>5.0</v>
      </c>
      <c r="F60" s="9">
        <v>28.0</v>
      </c>
      <c r="G60" s="9">
        <f t="shared" si="1"/>
        <v>140</v>
      </c>
      <c r="H60" s="15" t="s">
        <v>259</v>
      </c>
    </row>
    <row r="61" ht="15.75" customHeight="1">
      <c r="C61" s="9"/>
      <c r="D61" s="9" t="s">
        <v>260</v>
      </c>
      <c r="E61" s="9">
        <v>5.0</v>
      </c>
      <c r="F61" s="9">
        <v>30.0</v>
      </c>
      <c r="G61" s="9">
        <f t="shared" si="1"/>
        <v>150</v>
      </c>
      <c r="H61" s="15" t="s">
        <v>261</v>
      </c>
    </row>
    <row r="62" ht="15.75" customHeight="1">
      <c r="C62" s="9"/>
      <c r="D62" s="9" t="s">
        <v>262</v>
      </c>
      <c r="E62" s="9">
        <v>5.0</v>
      </c>
      <c r="F62" s="9">
        <v>30.0</v>
      </c>
      <c r="G62" s="9">
        <f t="shared" si="1"/>
        <v>150</v>
      </c>
      <c r="H62" s="15" t="s">
        <v>263</v>
      </c>
    </row>
    <row r="63" ht="15.75" customHeight="1">
      <c r="C63" s="9" t="s">
        <v>264</v>
      </c>
      <c r="D63" s="9" t="s">
        <v>265</v>
      </c>
      <c r="E63" s="9">
        <v>2.0</v>
      </c>
      <c r="F63" s="9">
        <v>68.0</v>
      </c>
      <c r="G63" s="9">
        <f t="shared" si="1"/>
        <v>136</v>
      </c>
      <c r="H63" s="15" t="s">
        <v>266</v>
      </c>
    </row>
    <row r="64" ht="15.75" customHeight="1">
      <c r="C64" s="9"/>
      <c r="D64" s="9" t="s">
        <v>267</v>
      </c>
      <c r="E64" s="9">
        <v>5.0</v>
      </c>
      <c r="F64" s="9">
        <v>14.0</v>
      </c>
      <c r="G64" s="9">
        <f t="shared" si="1"/>
        <v>70</v>
      </c>
      <c r="H64" s="15" t="s">
        <v>268</v>
      </c>
    </row>
    <row r="65" ht="15.75" customHeight="1">
      <c r="C65" s="9"/>
      <c r="D65" s="9" t="s">
        <v>264</v>
      </c>
      <c r="E65" s="9">
        <v>10.0</v>
      </c>
      <c r="F65" s="9">
        <v>46.0</v>
      </c>
      <c r="G65" s="9">
        <f t="shared" si="1"/>
        <v>460</v>
      </c>
      <c r="H65" s="15" t="s">
        <v>269</v>
      </c>
    </row>
    <row r="66" ht="15.75" customHeight="1">
      <c r="C66" s="9" t="s">
        <v>270</v>
      </c>
      <c r="D66" s="9" t="s">
        <v>271</v>
      </c>
      <c r="E66" s="9">
        <v>5.0</v>
      </c>
      <c r="F66" s="9">
        <v>65.0</v>
      </c>
      <c r="G66" s="9">
        <f t="shared" si="1"/>
        <v>325</v>
      </c>
      <c r="H66" s="15" t="s">
        <v>272</v>
      </c>
    </row>
    <row r="67" ht="15.75" customHeight="1">
      <c r="C67" s="9"/>
      <c r="D67" s="9" t="s">
        <v>273</v>
      </c>
      <c r="E67" s="9">
        <v>5.0</v>
      </c>
      <c r="F67" s="9">
        <v>32.0</v>
      </c>
      <c r="G67" s="9">
        <f t="shared" si="1"/>
        <v>160</v>
      </c>
      <c r="H67" s="15" t="s">
        <v>274</v>
      </c>
    </row>
    <row r="68" ht="15.75" customHeight="1">
      <c r="C68" s="22" t="s">
        <v>275</v>
      </c>
      <c r="D68" s="23"/>
      <c r="E68" s="23"/>
      <c r="F68" s="24"/>
      <c r="G68" s="25">
        <f>SUM(G46:G67)</f>
        <v>7006</v>
      </c>
    </row>
    <row r="69" ht="15.75" customHeight="1">
      <c r="C69" s="3"/>
      <c r="D69" s="3"/>
      <c r="E69" s="3"/>
      <c r="F69" s="3"/>
      <c r="G69" s="26"/>
    </row>
    <row r="70" ht="15.75" customHeight="1">
      <c r="B70" s="3"/>
      <c r="C70" s="7" t="s">
        <v>80</v>
      </c>
      <c r="D70" s="7" t="s">
        <v>81</v>
      </c>
      <c r="E70" s="7" t="s">
        <v>82</v>
      </c>
      <c r="F70" s="7" t="s">
        <v>83</v>
      </c>
      <c r="G70" s="7" t="s">
        <v>84</v>
      </c>
      <c r="H70" s="3" t="s">
        <v>85</v>
      </c>
    </row>
    <row r="71" ht="15.75" customHeight="1">
      <c r="C71" s="9" t="s">
        <v>277</v>
      </c>
      <c r="D71" s="9" t="s">
        <v>278</v>
      </c>
      <c r="E71" s="9">
        <v>5.0</v>
      </c>
      <c r="F71" s="9">
        <v>27.0</v>
      </c>
      <c r="G71" s="9">
        <f t="shared" ref="G71:G74" si="2">F71*E71</f>
        <v>135</v>
      </c>
      <c r="H71" s="15" t="s">
        <v>279</v>
      </c>
    </row>
    <row r="72" ht="15.75" customHeight="1">
      <c r="C72" s="9"/>
      <c r="D72" s="9" t="s">
        <v>280</v>
      </c>
      <c r="E72" s="9">
        <v>5.0</v>
      </c>
      <c r="F72" s="9">
        <v>15.0</v>
      </c>
      <c r="G72" s="9">
        <f t="shared" si="2"/>
        <v>75</v>
      </c>
      <c r="H72" s="15" t="s">
        <v>281</v>
      </c>
    </row>
    <row r="73" ht="15.75" customHeight="1">
      <c r="C73" s="9"/>
      <c r="D73" s="9" t="s">
        <v>282</v>
      </c>
      <c r="E73" s="9">
        <v>5.0</v>
      </c>
      <c r="F73" s="9">
        <v>26.0</v>
      </c>
      <c r="G73" s="9">
        <f t="shared" si="2"/>
        <v>130</v>
      </c>
      <c r="H73" s="15" t="s">
        <v>283</v>
      </c>
    </row>
    <row r="74" ht="15.75" customHeight="1">
      <c r="C74" s="9"/>
      <c r="D74" s="9" t="s">
        <v>284</v>
      </c>
      <c r="E74" s="9">
        <v>5.0</v>
      </c>
      <c r="F74" s="9">
        <v>145.0</v>
      </c>
      <c r="G74" s="9">
        <f t="shared" si="2"/>
        <v>725</v>
      </c>
      <c r="H74" s="15" t="s">
        <v>285</v>
      </c>
    </row>
    <row r="75" ht="15.75" customHeight="1">
      <c r="C75" s="22" t="s">
        <v>275</v>
      </c>
      <c r="D75" s="23"/>
      <c r="E75" s="23"/>
      <c r="F75" s="24"/>
      <c r="G75" s="25">
        <f>SUM(G71:G74)</f>
        <v>1065</v>
      </c>
    </row>
    <row r="76" ht="15.75" customHeight="1">
      <c r="C76" s="3"/>
      <c r="D76" s="3"/>
      <c r="E76" s="3"/>
      <c r="F76" s="3"/>
      <c r="G76" s="26"/>
    </row>
    <row r="77" ht="15.75" customHeight="1">
      <c r="B77" s="6" t="s">
        <v>276</v>
      </c>
    </row>
    <row r="78" ht="15.75" customHeight="1"/>
    <row r="79" ht="15.75" customHeight="1">
      <c r="C79" s="7" t="s">
        <v>80</v>
      </c>
      <c r="D79" s="7" t="s">
        <v>81</v>
      </c>
      <c r="E79" s="7" t="s">
        <v>82</v>
      </c>
      <c r="F79" s="7" t="s">
        <v>83</v>
      </c>
      <c r="G79" s="7" t="s">
        <v>84</v>
      </c>
      <c r="H79" s="3" t="s">
        <v>85</v>
      </c>
    </row>
    <row r="80" ht="15.75" customHeight="1">
      <c r="C80" s="9" t="s">
        <v>286</v>
      </c>
      <c r="D80" s="9" t="s">
        <v>287</v>
      </c>
      <c r="E80" s="9">
        <v>5.0</v>
      </c>
      <c r="F80" s="9">
        <v>400.0</v>
      </c>
      <c r="G80" s="9">
        <f>F80*E80</f>
        <v>2000</v>
      </c>
      <c r="H80" s="15" t="s">
        <v>288</v>
      </c>
    </row>
    <row r="81" ht="15.75" customHeight="1">
      <c r="C81" s="22" t="s">
        <v>275</v>
      </c>
      <c r="D81" s="23"/>
      <c r="E81" s="23"/>
      <c r="F81" s="24"/>
      <c r="G81" s="25">
        <f>SUM(G80)</f>
        <v>2000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68:F68"/>
    <mergeCell ref="C75:F75"/>
    <mergeCell ref="C81:F81"/>
  </mergeCells>
  <hyperlinks>
    <hyperlink r:id="rId1" ref="H46"/>
    <hyperlink r:id="rId2" ref="H47"/>
    <hyperlink r:id="rId3" ref="H48"/>
    <hyperlink r:id="rId4" ref="H49"/>
    <hyperlink r:id="rId5" ref="H50"/>
    <hyperlink r:id="rId6" ref="H51"/>
    <hyperlink r:id="rId7" ref="H52"/>
    <hyperlink r:id="rId8" ref="H53"/>
    <hyperlink r:id="rId9" ref="H54"/>
    <hyperlink r:id="rId10" ref="H55"/>
    <hyperlink r:id="rId11" ref="H56"/>
    <hyperlink r:id="rId12" ref="H57"/>
    <hyperlink r:id="rId13" ref="H58"/>
    <hyperlink r:id="rId14" ref="H59"/>
    <hyperlink r:id="rId15" ref="H60"/>
    <hyperlink r:id="rId16" ref="H61"/>
    <hyperlink r:id="rId17" ref="H62"/>
    <hyperlink r:id="rId18" ref="H63"/>
    <hyperlink r:id="rId19" ref="H64"/>
    <hyperlink r:id="rId20" ref="H65"/>
    <hyperlink r:id="rId21" ref="H66"/>
    <hyperlink r:id="rId22" ref="H67"/>
    <hyperlink r:id="rId23" ref="H71"/>
    <hyperlink r:id="rId24" ref="H72"/>
    <hyperlink r:id="rId25" ref="H73"/>
    <hyperlink r:id="rId26" ref="H74"/>
    <hyperlink r:id="rId27" ref="H8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59.5"/>
    <col customWidth="1" min="5" max="5" width="40.13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289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1" t="s">
        <v>17</v>
      </c>
      <c r="C11" s="5" t="s">
        <v>18</v>
      </c>
      <c r="D11" s="1" t="s">
        <v>95</v>
      </c>
    </row>
    <row r="12" ht="15.75" customHeight="1"/>
    <row r="13" ht="15.75" customHeight="1">
      <c r="A13" s="1" t="s">
        <v>20</v>
      </c>
    </row>
    <row r="14" ht="15.75" customHeight="1">
      <c r="A14" s="1"/>
    </row>
    <row r="15" ht="15.75" customHeight="1">
      <c r="B15" s="7" t="s">
        <v>21</v>
      </c>
      <c r="C15" s="7" t="s">
        <v>22</v>
      </c>
      <c r="D15" s="7" t="s">
        <v>23</v>
      </c>
      <c r="E15" s="7" t="s">
        <v>290</v>
      </c>
    </row>
    <row r="16" ht="15.75" customHeight="1">
      <c r="B16" s="8">
        <v>1.0</v>
      </c>
      <c r="C16" s="9" t="s">
        <v>291</v>
      </c>
      <c r="D16" s="9" t="s">
        <v>292</v>
      </c>
      <c r="E16" s="9" t="s">
        <v>293</v>
      </c>
    </row>
    <row r="17" ht="15.75" customHeight="1">
      <c r="B17" s="8">
        <v>2.0</v>
      </c>
      <c r="C17" s="9" t="s">
        <v>294</v>
      </c>
      <c r="D17" s="9" t="s">
        <v>295</v>
      </c>
      <c r="E17" s="9" t="s">
        <v>296</v>
      </c>
    </row>
    <row r="18" ht="15.75" customHeight="1">
      <c r="B18" s="8">
        <v>3.0</v>
      </c>
      <c r="C18" s="9" t="s">
        <v>297</v>
      </c>
      <c r="D18" s="9" t="s">
        <v>298</v>
      </c>
      <c r="E18" s="9" t="s">
        <v>299</v>
      </c>
    </row>
    <row r="19" ht="15.75" customHeight="1">
      <c r="B19" s="8">
        <v>4.0</v>
      </c>
      <c r="C19" s="9" t="s">
        <v>300</v>
      </c>
      <c r="D19" s="9" t="s">
        <v>301</v>
      </c>
      <c r="E19" s="9" t="s">
        <v>302</v>
      </c>
    </row>
    <row r="20" ht="15.75" customHeight="1">
      <c r="B20" s="8">
        <v>5.0</v>
      </c>
      <c r="C20" s="9" t="s">
        <v>303</v>
      </c>
      <c r="D20" s="9" t="s">
        <v>304</v>
      </c>
      <c r="E20" s="9" t="s">
        <v>305</v>
      </c>
    </row>
    <row r="21" ht="15.75" customHeight="1">
      <c r="B21" s="8">
        <v>6.0</v>
      </c>
      <c r="C21" s="9" t="s">
        <v>306</v>
      </c>
      <c r="D21" s="9" t="s">
        <v>307</v>
      </c>
      <c r="E21" s="9" t="s">
        <v>308</v>
      </c>
    </row>
    <row r="22" ht="15.75" customHeight="1">
      <c r="B22" s="8">
        <v>7.0</v>
      </c>
      <c r="C22" s="9" t="s">
        <v>309</v>
      </c>
      <c r="D22" s="9" t="s">
        <v>310</v>
      </c>
      <c r="E22" s="9" t="s">
        <v>311</v>
      </c>
    </row>
    <row r="23" ht="15.75" customHeight="1">
      <c r="B23" s="8">
        <v>8.0</v>
      </c>
      <c r="C23" s="9" t="s">
        <v>312</v>
      </c>
      <c r="D23" s="9" t="s">
        <v>313</v>
      </c>
      <c r="E23" s="9" t="s">
        <v>314</v>
      </c>
    </row>
    <row r="24" ht="15.75" customHeight="1">
      <c r="B24" s="8">
        <v>9.0</v>
      </c>
      <c r="C24" s="9" t="s">
        <v>315</v>
      </c>
      <c r="D24" s="9" t="s">
        <v>316</v>
      </c>
      <c r="E24" s="9" t="s">
        <v>317</v>
      </c>
    </row>
    <row r="25" ht="15.75" customHeight="1">
      <c r="B25" s="8">
        <v>10.0</v>
      </c>
      <c r="C25" s="9" t="s">
        <v>318</v>
      </c>
      <c r="D25" s="9" t="s">
        <v>319</v>
      </c>
      <c r="E25" s="9" t="s">
        <v>320</v>
      </c>
    </row>
    <row r="26" ht="15.75" customHeight="1">
      <c r="B26" s="8">
        <v>11.0</v>
      </c>
      <c r="C26" s="9" t="s">
        <v>321</v>
      </c>
      <c r="D26" s="9" t="s">
        <v>322</v>
      </c>
      <c r="E26" s="9" t="s">
        <v>323</v>
      </c>
    </row>
    <row r="27" ht="15.75" customHeight="1">
      <c r="B27" s="8">
        <v>12.0</v>
      </c>
      <c r="C27" s="9" t="s">
        <v>324</v>
      </c>
      <c r="D27" s="9" t="s">
        <v>325</v>
      </c>
      <c r="E27" s="9" t="s">
        <v>326</v>
      </c>
    </row>
    <row r="28" ht="15.75" customHeight="1">
      <c r="B28" s="8">
        <v>13.0</v>
      </c>
      <c r="C28" s="9" t="s">
        <v>327</v>
      </c>
      <c r="D28" s="27" t="s">
        <v>328</v>
      </c>
      <c r="E28" s="27" t="s">
        <v>329</v>
      </c>
    </row>
    <row r="29" ht="15.75" customHeight="1">
      <c r="B29" s="8">
        <v>14.0</v>
      </c>
      <c r="C29" s="9" t="s">
        <v>330</v>
      </c>
      <c r="D29" s="27" t="s">
        <v>331</v>
      </c>
      <c r="E29" s="27" t="s">
        <v>332</v>
      </c>
    </row>
    <row r="30" ht="15.75" customHeight="1">
      <c r="B30" s="8">
        <v>15.0</v>
      </c>
      <c r="C30" s="9" t="s">
        <v>333</v>
      </c>
      <c r="D30" s="27" t="s">
        <v>334</v>
      </c>
      <c r="E30" s="27" t="s">
        <v>335</v>
      </c>
    </row>
    <row r="31" ht="15.75" customHeight="1">
      <c r="B31" s="8">
        <v>16.0</v>
      </c>
      <c r="C31" s="9" t="s">
        <v>336</v>
      </c>
      <c r="D31" s="27" t="s">
        <v>337</v>
      </c>
      <c r="E31" s="27" t="s">
        <v>338</v>
      </c>
    </row>
    <row r="32" ht="15.75" customHeight="1">
      <c r="B32" s="5"/>
      <c r="C32" s="1"/>
      <c r="D32" s="28"/>
      <c r="E32" s="28"/>
    </row>
    <row r="33" ht="15.75" customHeight="1">
      <c r="B33" s="1" t="s">
        <v>74</v>
      </c>
    </row>
    <row r="34" ht="15.75" customHeight="1">
      <c r="C34" s="1" t="s">
        <v>339</v>
      </c>
    </row>
    <row r="35" ht="15.75" customHeight="1">
      <c r="C35" s="1" t="s">
        <v>340</v>
      </c>
    </row>
    <row r="36" ht="15.75" customHeight="1">
      <c r="C36" s="1" t="s">
        <v>342</v>
      </c>
    </row>
    <row r="37" ht="15.75" customHeight="1"/>
    <row r="38" ht="15.75" customHeight="1">
      <c r="B38" s="1" t="s">
        <v>343</v>
      </c>
    </row>
    <row r="39" ht="15.75" customHeight="1"/>
    <row r="40" ht="15.75" customHeight="1">
      <c r="A40" s="1" t="s">
        <v>79</v>
      </c>
    </row>
    <row r="41" ht="15.75" customHeight="1">
      <c r="A41" s="1"/>
    </row>
    <row r="42" ht="15.75" customHeight="1">
      <c r="B42" s="6" t="s">
        <v>344</v>
      </c>
    </row>
    <row r="43" ht="15.75" customHeight="1">
      <c r="B43" s="3"/>
      <c r="C43" s="7" t="s">
        <v>80</v>
      </c>
      <c r="D43" s="7" t="s">
        <v>81</v>
      </c>
      <c r="E43" s="7" t="s">
        <v>82</v>
      </c>
      <c r="F43" s="7" t="s">
        <v>83</v>
      </c>
      <c r="G43" s="7" t="s">
        <v>84</v>
      </c>
      <c r="H43" s="3" t="s">
        <v>85</v>
      </c>
    </row>
    <row r="44" ht="15.75" customHeight="1">
      <c r="C44" s="9" t="s">
        <v>86</v>
      </c>
      <c r="D44" s="9" t="s">
        <v>87</v>
      </c>
      <c r="E44" s="9">
        <v>5.0</v>
      </c>
      <c r="F44" s="9">
        <v>450.0</v>
      </c>
      <c r="G44" s="9">
        <f t="shared" ref="G44:G65" si="1">F44*E44</f>
        <v>2250</v>
      </c>
      <c r="H44" s="15" t="s">
        <v>94</v>
      </c>
    </row>
    <row r="45" ht="15.75" customHeight="1">
      <c r="C45" s="9" t="s">
        <v>129</v>
      </c>
      <c r="D45" s="9" t="s">
        <v>131</v>
      </c>
      <c r="E45" s="9">
        <v>5.0</v>
      </c>
      <c r="F45" s="9">
        <v>190.0</v>
      </c>
      <c r="G45" s="9">
        <f t="shared" si="1"/>
        <v>950</v>
      </c>
      <c r="H45" s="15" t="s">
        <v>145</v>
      </c>
    </row>
    <row r="46" ht="15.75" customHeight="1">
      <c r="C46" s="9"/>
      <c r="D46" s="9" t="s">
        <v>178</v>
      </c>
      <c r="E46" s="9">
        <v>5.0</v>
      </c>
      <c r="F46" s="9">
        <v>27.0</v>
      </c>
      <c r="G46" s="9">
        <f t="shared" si="1"/>
        <v>135</v>
      </c>
      <c r="H46" s="15" t="s">
        <v>185</v>
      </c>
    </row>
    <row r="47" ht="15.75" customHeight="1">
      <c r="C47" s="9" t="s">
        <v>200</v>
      </c>
      <c r="D47" s="9" t="s">
        <v>203</v>
      </c>
      <c r="E47" s="9">
        <v>5.0</v>
      </c>
      <c r="F47" s="9">
        <v>105.0</v>
      </c>
      <c r="G47" s="9">
        <f t="shared" si="1"/>
        <v>525</v>
      </c>
      <c r="H47" s="15" t="s">
        <v>210</v>
      </c>
    </row>
    <row r="48" ht="15.75" customHeight="1">
      <c r="C48" s="9"/>
      <c r="D48" s="9" t="s">
        <v>178</v>
      </c>
      <c r="E48" s="9">
        <v>5.0</v>
      </c>
      <c r="F48" s="9">
        <v>27.0</v>
      </c>
      <c r="G48" s="9">
        <f t="shared" si="1"/>
        <v>135</v>
      </c>
      <c r="H48" s="15" t="s">
        <v>219</v>
      </c>
    </row>
    <row r="49" ht="15.75" customHeight="1">
      <c r="C49" s="9" t="s">
        <v>223</v>
      </c>
      <c r="D49" s="9" t="s">
        <v>224</v>
      </c>
      <c r="E49" s="9">
        <v>10.0</v>
      </c>
      <c r="F49" s="9">
        <v>10.0</v>
      </c>
      <c r="G49" s="9">
        <f t="shared" si="1"/>
        <v>100</v>
      </c>
      <c r="H49" s="15" t="s">
        <v>228</v>
      </c>
    </row>
    <row r="50" ht="15.75" customHeight="1">
      <c r="C50" s="9"/>
      <c r="D50" s="9" t="s">
        <v>232</v>
      </c>
      <c r="E50" s="9">
        <v>10.0</v>
      </c>
      <c r="F50" s="9">
        <v>13.0</v>
      </c>
      <c r="G50" s="9">
        <f t="shared" si="1"/>
        <v>130</v>
      </c>
      <c r="H50" s="15" t="s">
        <v>251</v>
      </c>
    </row>
    <row r="51" ht="15.75" customHeight="1">
      <c r="C51" s="9" t="s">
        <v>50</v>
      </c>
      <c r="D51" s="9" t="s">
        <v>238</v>
      </c>
      <c r="E51" s="9">
        <v>10.0</v>
      </c>
      <c r="F51" s="9">
        <v>10.0</v>
      </c>
      <c r="G51" s="9">
        <f t="shared" si="1"/>
        <v>100</v>
      </c>
      <c r="H51" s="15" t="s">
        <v>240</v>
      </c>
    </row>
    <row r="52" ht="15.75" customHeight="1">
      <c r="C52" s="9"/>
      <c r="D52" s="9" t="s">
        <v>241</v>
      </c>
      <c r="E52" s="9">
        <v>10.0</v>
      </c>
      <c r="F52" s="9">
        <v>5.5</v>
      </c>
      <c r="G52" s="9">
        <f t="shared" si="1"/>
        <v>55</v>
      </c>
      <c r="H52" s="15" t="s">
        <v>242</v>
      </c>
    </row>
    <row r="53" ht="15.75" customHeight="1">
      <c r="C53" s="9" t="s">
        <v>243</v>
      </c>
      <c r="D53" s="9" t="s">
        <v>244</v>
      </c>
      <c r="E53" s="9">
        <v>10.0</v>
      </c>
      <c r="F53" s="9">
        <v>25.0</v>
      </c>
      <c r="G53" s="9">
        <f t="shared" si="1"/>
        <v>250</v>
      </c>
      <c r="H53" s="15" t="s">
        <v>245</v>
      </c>
    </row>
    <row r="54" ht="15.75" customHeight="1">
      <c r="C54" s="9" t="s">
        <v>246</v>
      </c>
      <c r="D54" s="9" t="s">
        <v>247</v>
      </c>
      <c r="E54" s="9">
        <v>5.0</v>
      </c>
      <c r="F54" s="9">
        <v>35.0</v>
      </c>
      <c r="G54" s="9">
        <f t="shared" si="1"/>
        <v>175</v>
      </c>
      <c r="H54" s="15" t="s">
        <v>248</v>
      </c>
    </row>
    <row r="55" ht="15.75" customHeight="1">
      <c r="C55" s="9"/>
      <c r="D55" s="9" t="s">
        <v>249</v>
      </c>
      <c r="E55" s="9">
        <v>5.0</v>
      </c>
      <c r="F55" s="9">
        <v>42.0</v>
      </c>
      <c r="G55" s="9">
        <f t="shared" si="1"/>
        <v>210</v>
      </c>
      <c r="H55" s="15" t="s">
        <v>250</v>
      </c>
    </row>
    <row r="56" ht="15.75" customHeight="1">
      <c r="C56" s="9"/>
      <c r="D56" s="9" t="s">
        <v>252</v>
      </c>
      <c r="E56" s="9">
        <v>5.0</v>
      </c>
      <c r="F56" s="9">
        <v>45.0</v>
      </c>
      <c r="G56" s="9">
        <f t="shared" si="1"/>
        <v>225</v>
      </c>
      <c r="H56" s="15" t="s">
        <v>253</v>
      </c>
    </row>
    <row r="57" ht="15.75" customHeight="1">
      <c r="C57" s="9" t="s">
        <v>254</v>
      </c>
      <c r="D57" s="9" t="s">
        <v>255</v>
      </c>
      <c r="E57" s="9">
        <v>5.0</v>
      </c>
      <c r="F57" s="9">
        <v>35.0</v>
      </c>
      <c r="G57" s="9">
        <f t="shared" si="1"/>
        <v>175</v>
      </c>
      <c r="H57" s="15" t="s">
        <v>256</v>
      </c>
    </row>
    <row r="58" ht="15.75" customHeight="1">
      <c r="C58" s="9" t="s">
        <v>257</v>
      </c>
      <c r="D58" s="9" t="s">
        <v>258</v>
      </c>
      <c r="E58" s="9">
        <v>5.0</v>
      </c>
      <c r="F58" s="9">
        <v>28.0</v>
      </c>
      <c r="G58" s="9">
        <f t="shared" si="1"/>
        <v>140</v>
      </c>
      <c r="H58" s="15" t="s">
        <v>259</v>
      </c>
    </row>
    <row r="59" ht="15.75" customHeight="1">
      <c r="C59" s="9"/>
      <c r="D59" s="9" t="s">
        <v>260</v>
      </c>
      <c r="E59" s="9">
        <v>5.0</v>
      </c>
      <c r="F59" s="9">
        <v>30.0</v>
      </c>
      <c r="G59" s="9">
        <f t="shared" si="1"/>
        <v>150</v>
      </c>
      <c r="H59" s="15" t="s">
        <v>261</v>
      </c>
    </row>
    <row r="60" ht="15.75" customHeight="1">
      <c r="C60" s="9"/>
      <c r="D60" s="9" t="s">
        <v>262</v>
      </c>
      <c r="E60" s="9">
        <v>5.0</v>
      </c>
      <c r="F60" s="9">
        <v>30.0</v>
      </c>
      <c r="G60" s="9">
        <f t="shared" si="1"/>
        <v>150</v>
      </c>
      <c r="H60" s="15" t="s">
        <v>263</v>
      </c>
    </row>
    <row r="61" ht="15.75" customHeight="1">
      <c r="C61" s="9" t="s">
        <v>264</v>
      </c>
      <c r="D61" s="9" t="s">
        <v>265</v>
      </c>
      <c r="E61" s="9">
        <v>2.0</v>
      </c>
      <c r="F61" s="9">
        <v>68.0</v>
      </c>
      <c r="G61" s="9">
        <f t="shared" si="1"/>
        <v>136</v>
      </c>
      <c r="H61" s="15" t="s">
        <v>266</v>
      </c>
    </row>
    <row r="62" ht="15.75" customHeight="1">
      <c r="C62" s="9"/>
      <c r="D62" s="9" t="s">
        <v>267</v>
      </c>
      <c r="E62" s="9">
        <v>5.0</v>
      </c>
      <c r="F62" s="9">
        <v>14.0</v>
      </c>
      <c r="G62" s="9">
        <f t="shared" si="1"/>
        <v>70</v>
      </c>
      <c r="H62" s="15" t="s">
        <v>268</v>
      </c>
    </row>
    <row r="63" ht="15.75" customHeight="1">
      <c r="C63" s="9"/>
      <c r="D63" s="9" t="s">
        <v>264</v>
      </c>
      <c r="E63" s="9">
        <v>10.0</v>
      </c>
      <c r="F63" s="9">
        <v>46.0</v>
      </c>
      <c r="G63" s="9">
        <f t="shared" si="1"/>
        <v>460</v>
      </c>
      <c r="H63" s="15" t="s">
        <v>269</v>
      </c>
    </row>
    <row r="64" ht="15.75" customHeight="1">
      <c r="C64" s="9" t="s">
        <v>270</v>
      </c>
      <c r="D64" s="9" t="s">
        <v>271</v>
      </c>
      <c r="E64" s="9">
        <v>5.0</v>
      </c>
      <c r="F64" s="9">
        <v>65.0</v>
      </c>
      <c r="G64" s="9">
        <f t="shared" si="1"/>
        <v>325</v>
      </c>
      <c r="H64" s="15" t="s">
        <v>272</v>
      </c>
    </row>
    <row r="65" ht="15.75" customHeight="1">
      <c r="C65" s="9"/>
      <c r="D65" s="9" t="s">
        <v>273</v>
      </c>
      <c r="E65" s="9">
        <v>5.0</v>
      </c>
      <c r="F65" s="9">
        <v>32.0</v>
      </c>
      <c r="G65" s="9">
        <f t="shared" si="1"/>
        <v>160</v>
      </c>
      <c r="H65" s="15" t="s">
        <v>274</v>
      </c>
    </row>
    <row r="66" ht="15.75" customHeight="1">
      <c r="C66" s="22" t="s">
        <v>275</v>
      </c>
      <c r="D66" s="23"/>
      <c r="E66" s="23"/>
      <c r="F66" s="24"/>
      <c r="G66" s="25">
        <f>SUM(G44:G65)</f>
        <v>7006</v>
      </c>
    </row>
    <row r="67" ht="15.75" customHeight="1">
      <c r="C67" s="3"/>
      <c r="D67" s="3"/>
      <c r="E67" s="3"/>
      <c r="F67" s="3"/>
      <c r="G67" s="26"/>
    </row>
    <row r="68" ht="15.75" customHeight="1">
      <c r="B68" s="3"/>
      <c r="C68" s="7" t="s">
        <v>80</v>
      </c>
      <c r="D68" s="7" t="s">
        <v>81</v>
      </c>
      <c r="E68" s="7" t="s">
        <v>82</v>
      </c>
      <c r="F68" s="7" t="s">
        <v>83</v>
      </c>
      <c r="G68" s="7" t="s">
        <v>84</v>
      </c>
      <c r="H68" s="3" t="s">
        <v>85</v>
      </c>
    </row>
    <row r="69" ht="15.75" customHeight="1">
      <c r="C69" s="9" t="s">
        <v>277</v>
      </c>
      <c r="D69" s="9" t="s">
        <v>278</v>
      </c>
      <c r="E69" s="9">
        <v>5.0</v>
      </c>
      <c r="F69" s="9">
        <v>27.0</v>
      </c>
      <c r="G69" s="9">
        <f t="shared" ref="G69:G72" si="2">F69*E69</f>
        <v>135</v>
      </c>
      <c r="H69" s="15" t="s">
        <v>279</v>
      </c>
    </row>
    <row r="70" ht="15.75" customHeight="1">
      <c r="C70" s="9"/>
      <c r="D70" s="9" t="s">
        <v>280</v>
      </c>
      <c r="E70" s="9">
        <v>5.0</v>
      </c>
      <c r="F70" s="9">
        <v>15.0</v>
      </c>
      <c r="G70" s="9">
        <f t="shared" si="2"/>
        <v>75</v>
      </c>
      <c r="H70" s="15" t="s">
        <v>281</v>
      </c>
    </row>
    <row r="71" ht="15.75" customHeight="1">
      <c r="C71" s="9"/>
      <c r="D71" s="9" t="s">
        <v>282</v>
      </c>
      <c r="E71" s="9">
        <v>5.0</v>
      </c>
      <c r="F71" s="9">
        <v>26.0</v>
      </c>
      <c r="G71" s="9">
        <f t="shared" si="2"/>
        <v>130</v>
      </c>
      <c r="H71" s="15" t="s">
        <v>283</v>
      </c>
    </row>
    <row r="72" ht="15.75" customHeight="1">
      <c r="C72" s="9"/>
      <c r="D72" s="9" t="s">
        <v>284</v>
      </c>
      <c r="E72" s="9">
        <v>5.0</v>
      </c>
      <c r="F72" s="9">
        <v>145.0</v>
      </c>
      <c r="G72" s="9">
        <f t="shared" si="2"/>
        <v>725</v>
      </c>
      <c r="H72" s="15" t="s">
        <v>285</v>
      </c>
    </row>
    <row r="73" ht="15.75" customHeight="1">
      <c r="C73" s="22" t="s">
        <v>275</v>
      </c>
      <c r="D73" s="23"/>
      <c r="E73" s="23"/>
      <c r="F73" s="24"/>
      <c r="G73" s="25">
        <f>SUM(G69:G72)</f>
        <v>1065</v>
      </c>
    </row>
    <row r="74" ht="15.75" customHeight="1">
      <c r="C74" s="3"/>
      <c r="D74" s="3"/>
      <c r="E74" s="3"/>
      <c r="F74" s="3"/>
      <c r="G74" s="26"/>
    </row>
    <row r="75" ht="15.75" customHeight="1">
      <c r="C75" s="7" t="s">
        <v>80</v>
      </c>
      <c r="D75" s="7" t="s">
        <v>81</v>
      </c>
      <c r="E75" s="7" t="s">
        <v>82</v>
      </c>
      <c r="F75" s="7" t="s">
        <v>83</v>
      </c>
      <c r="G75" s="7" t="s">
        <v>84</v>
      </c>
      <c r="H75" s="3" t="s">
        <v>85</v>
      </c>
    </row>
    <row r="76" ht="15.75" customHeight="1">
      <c r="C76" s="9" t="s">
        <v>286</v>
      </c>
      <c r="D76" s="9" t="s">
        <v>287</v>
      </c>
      <c r="E76" s="9">
        <v>5.0</v>
      </c>
      <c r="F76" s="9">
        <v>400.0</v>
      </c>
      <c r="G76" s="9">
        <f>F76*E76</f>
        <v>2000</v>
      </c>
      <c r="H76" s="15" t="s">
        <v>288</v>
      </c>
    </row>
    <row r="77" ht="15.75" customHeight="1">
      <c r="C77" s="22" t="s">
        <v>275</v>
      </c>
      <c r="D77" s="23"/>
      <c r="E77" s="23"/>
      <c r="F77" s="24"/>
      <c r="G77" s="25">
        <f>SUM(G76)</f>
        <v>2000</v>
      </c>
    </row>
    <row r="78" ht="15.75" customHeight="1"/>
    <row r="79" ht="15.75" customHeight="1">
      <c r="B79" s="6" t="s">
        <v>276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66:F66"/>
    <mergeCell ref="C73:F73"/>
    <mergeCell ref="C77:F77"/>
  </mergeCells>
  <hyperlinks>
    <hyperlink r:id="rId1" ref="H44"/>
    <hyperlink r:id="rId2" ref="H45"/>
    <hyperlink r:id="rId3" ref="H46"/>
    <hyperlink r:id="rId4" ref="H47"/>
    <hyperlink r:id="rId5" ref="H48"/>
    <hyperlink r:id="rId6" ref="H49"/>
    <hyperlink r:id="rId7" ref="H50"/>
    <hyperlink r:id="rId8" ref="H51"/>
    <hyperlink r:id="rId9" ref="H52"/>
    <hyperlink r:id="rId10" ref="H53"/>
    <hyperlink r:id="rId11" ref="H54"/>
    <hyperlink r:id="rId12" ref="H55"/>
    <hyperlink r:id="rId13" ref="H56"/>
    <hyperlink r:id="rId14" ref="H57"/>
    <hyperlink r:id="rId15" ref="H58"/>
    <hyperlink r:id="rId16" ref="H59"/>
    <hyperlink r:id="rId17" ref="H60"/>
    <hyperlink r:id="rId18" ref="H61"/>
    <hyperlink r:id="rId19" ref="H62"/>
    <hyperlink r:id="rId20" ref="H63"/>
    <hyperlink r:id="rId21" ref="H64"/>
    <hyperlink r:id="rId22" ref="H65"/>
    <hyperlink r:id="rId23" ref="H69"/>
    <hyperlink r:id="rId24" ref="H70"/>
    <hyperlink r:id="rId25" ref="H71"/>
    <hyperlink r:id="rId26" ref="H72"/>
    <hyperlink r:id="rId27" ref="H7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38"/>
    <col customWidth="1" min="3" max="3" width="39.5"/>
    <col customWidth="1" min="4" max="4" width="59.5"/>
    <col customWidth="1" min="5" max="5" width="40.13"/>
    <col customWidth="1" min="6" max="6" width="12.63"/>
  </cols>
  <sheetData>
    <row r="1" ht="15.0" customHeight="1"/>
    <row r="2" ht="15.75" customHeight="1">
      <c r="A2" s="1" t="s">
        <v>0</v>
      </c>
    </row>
    <row r="3" ht="15.75" customHeight="1">
      <c r="A3" s="1"/>
      <c r="B3" s="1" t="s">
        <v>341</v>
      </c>
    </row>
    <row r="4" ht="15.75" customHeight="1"/>
    <row r="5" ht="15.75" customHeight="1">
      <c r="A5" s="1" t="s">
        <v>2</v>
      </c>
    </row>
    <row r="6" ht="15.75" customHeight="1">
      <c r="B6" s="3" t="s">
        <v>3</v>
      </c>
      <c r="C6" s="4" t="s">
        <v>4</v>
      </c>
      <c r="D6" s="3" t="s">
        <v>5</v>
      </c>
    </row>
    <row r="7" ht="15.75" customHeight="1">
      <c r="B7" s="1" t="s">
        <v>6</v>
      </c>
      <c r="C7" s="5" t="s">
        <v>7</v>
      </c>
      <c r="D7" s="1" t="s">
        <v>8</v>
      </c>
    </row>
    <row r="8" ht="15.75" customHeight="1">
      <c r="B8" s="1" t="s">
        <v>9</v>
      </c>
      <c r="C8" s="5" t="s">
        <v>10</v>
      </c>
      <c r="D8" s="1" t="s">
        <v>11</v>
      </c>
    </row>
    <row r="9" ht="15.75" customHeight="1">
      <c r="B9" s="1" t="s">
        <v>12</v>
      </c>
      <c r="C9" s="5" t="s">
        <v>13</v>
      </c>
      <c r="D9" s="1" t="s">
        <v>14</v>
      </c>
    </row>
    <row r="10" ht="15.75" customHeight="1">
      <c r="B10" s="1" t="s">
        <v>15</v>
      </c>
      <c r="C10" s="5" t="s">
        <v>13</v>
      </c>
      <c r="D10" s="1" t="s">
        <v>16</v>
      </c>
    </row>
    <row r="11" ht="15.75" customHeight="1">
      <c r="B11" s="1" t="s">
        <v>17</v>
      </c>
      <c r="C11" s="5" t="s">
        <v>18</v>
      </c>
      <c r="D11" s="1" t="s">
        <v>95</v>
      </c>
    </row>
    <row r="12" ht="15.75" customHeight="1"/>
    <row r="13" ht="15.75" customHeight="1">
      <c r="A13" s="1" t="s">
        <v>20</v>
      </c>
    </row>
    <row r="14" ht="15.75" customHeight="1">
      <c r="A14" s="1"/>
    </row>
    <row r="15" ht="15.75" customHeight="1">
      <c r="B15" s="29" t="s">
        <v>21</v>
      </c>
      <c r="C15" s="29" t="s">
        <v>22</v>
      </c>
      <c r="D15" s="29" t="s">
        <v>23</v>
      </c>
      <c r="E15" s="29" t="s">
        <v>290</v>
      </c>
    </row>
    <row r="16" ht="15.75" customHeight="1">
      <c r="B16" s="30">
        <v>1.0</v>
      </c>
      <c r="C16" s="27" t="s">
        <v>345</v>
      </c>
      <c r="D16" s="27" t="s">
        <v>346</v>
      </c>
      <c r="E16" s="27" t="s">
        <v>347</v>
      </c>
    </row>
    <row r="17" ht="15.75" customHeight="1">
      <c r="B17" s="30">
        <v>2.0</v>
      </c>
      <c r="C17" s="27" t="s">
        <v>348</v>
      </c>
      <c r="D17" s="27" t="s">
        <v>349</v>
      </c>
      <c r="E17" s="27" t="s">
        <v>350</v>
      </c>
    </row>
    <row r="18" ht="15.75" customHeight="1">
      <c r="B18" s="30">
        <v>3.0</v>
      </c>
      <c r="C18" s="27" t="s">
        <v>351</v>
      </c>
      <c r="D18" s="27" t="s">
        <v>352</v>
      </c>
      <c r="E18" s="27" t="s">
        <v>353</v>
      </c>
    </row>
    <row r="19" ht="15.75" customHeight="1">
      <c r="B19" s="30">
        <v>4.0</v>
      </c>
      <c r="C19" s="27" t="s">
        <v>354</v>
      </c>
      <c r="D19" s="27" t="s">
        <v>355</v>
      </c>
      <c r="E19" s="27" t="s">
        <v>356</v>
      </c>
    </row>
    <row r="20" ht="15.75" customHeight="1">
      <c r="B20" s="30">
        <v>5.0</v>
      </c>
      <c r="C20" s="27" t="s">
        <v>357</v>
      </c>
      <c r="D20" s="27" t="s">
        <v>358</v>
      </c>
      <c r="E20" s="27" t="s">
        <v>359</v>
      </c>
    </row>
    <row r="21" ht="15.75" customHeight="1">
      <c r="B21" s="30">
        <v>6.0</v>
      </c>
      <c r="C21" s="27" t="s">
        <v>360</v>
      </c>
      <c r="D21" s="27" t="s">
        <v>361</v>
      </c>
      <c r="E21" s="27" t="s">
        <v>362</v>
      </c>
    </row>
    <row r="22" ht="15.75" customHeight="1">
      <c r="B22" s="30">
        <v>7.0</v>
      </c>
      <c r="C22" s="27" t="s">
        <v>363</v>
      </c>
      <c r="D22" s="27" t="s">
        <v>364</v>
      </c>
      <c r="E22" s="27" t="s">
        <v>365</v>
      </c>
    </row>
    <row r="23" ht="15.75" customHeight="1">
      <c r="B23" s="30">
        <v>8.0</v>
      </c>
      <c r="C23" s="27" t="s">
        <v>366</v>
      </c>
      <c r="D23" s="27" t="s">
        <v>367</v>
      </c>
      <c r="E23" s="27" t="s">
        <v>368</v>
      </c>
    </row>
    <row r="24" ht="15.75" customHeight="1">
      <c r="B24" s="30">
        <v>9.0</v>
      </c>
      <c r="C24" s="27" t="s">
        <v>369</v>
      </c>
      <c r="D24" s="27" t="s">
        <v>370</v>
      </c>
      <c r="E24" s="27" t="s">
        <v>371</v>
      </c>
    </row>
    <row r="25" ht="15.75" customHeight="1">
      <c r="B25" s="30">
        <v>10.0</v>
      </c>
      <c r="C25" s="27" t="s">
        <v>372</v>
      </c>
      <c r="D25" s="27" t="s">
        <v>373</v>
      </c>
      <c r="E25" s="27" t="s">
        <v>374</v>
      </c>
    </row>
    <row r="26" ht="15.75" customHeight="1">
      <c r="B26" s="30">
        <v>11.0</v>
      </c>
      <c r="C26" s="27" t="s">
        <v>375</v>
      </c>
      <c r="D26" s="27" t="s">
        <v>376</v>
      </c>
      <c r="E26" s="27" t="s">
        <v>377</v>
      </c>
    </row>
    <row r="27" ht="15.75" customHeight="1">
      <c r="B27" s="30">
        <v>12.0</v>
      </c>
      <c r="C27" s="27" t="s">
        <v>378</v>
      </c>
      <c r="D27" s="27" t="s">
        <v>379</v>
      </c>
      <c r="E27" s="27" t="s">
        <v>380</v>
      </c>
    </row>
    <row r="28" ht="15.75" customHeight="1">
      <c r="B28" s="30">
        <v>13.0</v>
      </c>
      <c r="C28" s="27" t="s">
        <v>381</v>
      </c>
      <c r="D28" s="27" t="s">
        <v>382</v>
      </c>
      <c r="E28" s="27" t="s">
        <v>383</v>
      </c>
    </row>
    <row r="29" ht="15.75" customHeight="1">
      <c r="B29" s="30">
        <v>14.0</v>
      </c>
      <c r="C29" s="27" t="s">
        <v>384</v>
      </c>
      <c r="D29" s="27" t="s">
        <v>385</v>
      </c>
      <c r="E29" s="27" t="s">
        <v>386</v>
      </c>
    </row>
    <row r="30" ht="15.75" customHeight="1">
      <c r="B30" s="30">
        <v>15.0</v>
      </c>
      <c r="C30" s="27" t="s">
        <v>387</v>
      </c>
      <c r="D30" s="27" t="s">
        <v>388</v>
      </c>
      <c r="E30" s="27" t="s">
        <v>389</v>
      </c>
    </row>
    <row r="31" ht="15.75" customHeight="1">
      <c r="B31" s="30">
        <v>16.0</v>
      </c>
      <c r="C31" s="27" t="s">
        <v>336</v>
      </c>
      <c r="D31" s="27" t="s">
        <v>390</v>
      </c>
      <c r="E31" s="27" t="s">
        <v>391</v>
      </c>
    </row>
    <row r="32" ht="15.75" customHeight="1">
      <c r="B32" s="5"/>
      <c r="C32" s="1"/>
      <c r="D32" s="28"/>
      <c r="E32" s="28"/>
    </row>
    <row r="33" ht="15.75" customHeight="1">
      <c r="B33" s="1" t="s">
        <v>74</v>
      </c>
    </row>
    <row r="34" ht="15.75" customHeight="1">
      <c r="C34" s="1" t="s">
        <v>392</v>
      </c>
    </row>
    <row r="35" ht="15.75" customHeight="1"/>
    <row r="36" ht="15.75" customHeight="1"/>
    <row r="37" ht="15.75" customHeight="1"/>
    <row r="38" ht="15.75" customHeight="1">
      <c r="B38" s="1" t="s">
        <v>393</v>
      </c>
    </row>
    <row r="39" ht="15.75" customHeight="1"/>
    <row r="40" ht="15.75" customHeight="1">
      <c r="A40" s="1" t="s">
        <v>79</v>
      </c>
    </row>
    <row r="41" ht="15.75" customHeight="1">
      <c r="A41" s="1"/>
    </row>
    <row r="42" ht="15.75" customHeight="1">
      <c r="B42" s="6" t="s">
        <v>344</v>
      </c>
    </row>
    <row r="43" ht="15.75" customHeight="1">
      <c r="B43" s="6"/>
    </row>
    <row r="44" ht="15.75" customHeight="1">
      <c r="B44" s="3"/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3" t="s">
        <v>85</v>
      </c>
    </row>
    <row r="45" ht="15.75" customHeight="1">
      <c r="C45" s="9" t="s">
        <v>86</v>
      </c>
      <c r="D45" s="9" t="s">
        <v>87</v>
      </c>
      <c r="E45" s="9">
        <v>5.0</v>
      </c>
      <c r="F45" s="9">
        <v>450.0</v>
      </c>
      <c r="G45" s="9">
        <f t="shared" ref="G45:G66" si="1">F45*E45</f>
        <v>2250</v>
      </c>
      <c r="H45" s="15" t="s">
        <v>94</v>
      </c>
    </row>
    <row r="46" ht="15.75" customHeight="1">
      <c r="C46" s="9" t="s">
        <v>129</v>
      </c>
      <c r="D46" s="9" t="s">
        <v>131</v>
      </c>
      <c r="E46" s="9">
        <v>5.0</v>
      </c>
      <c r="F46" s="9">
        <v>190.0</v>
      </c>
      <c r="G46" s="9">
        <f t="shared" si="1"/>
        <v>950</v>
      </c>
      <c r="H46" s="15" t="s">
        <v>145</v>
      </c>
    </row>
    <row r="47" ht="15.75" customHeight="1">
      <c r="C47" s="9"/>
      <c r="D47" s="9" t="s">
        <v>178</v>
      </c>
      <c r="E47" s="9">
        <v>5.0</v>
      </c>
      <c r="F47" s="9">
        <v>27.0</v>
      </c>
      <c r="G47" s="9">
        <f t="shared" si="1"/>
        <v>135</v>
      </c>
      <c r="H47" s="15" t="s">
        <v>185</v>
      </c>
    </row>
    <row r="48" ht="15.75" customHeight="1">
      <c r="C48" s="9" t="s">
        <v>200</v>
      </c>
      <c r="D48" s="9" t="s">
        <v>203</v>
      </c>
      <c r="E48" s="9">
        <v>5.0</v>
      </c>
      <c r="F48" s="9">
        <v>105.0</v>
      </c>
      <c r="G48" s="9">
        <f t="shared" si="1"/>
        <v>525</v>
      </c>
      <c r="H48" s="15" t="s">
        <v>210</v>
      </c>
    </row>
    <row r="49" ht="15.75" customHeight="1">
      <c r="C49" s="9"/>
      <c r="D49" s="9" t="s">
        <v>178</v>
      </c>
      <c r="E49" s="9">
        <v>5.0</v>
      </c>
      <c r="F49" s="9">
        <v>27.0</v>
      </c>
      <c r="G49" s="9">
        <f t="shared" si="1"/>
        <v>135</v>
      </c>
      <c r="H49" s="15" t="s">
        <v>219</v>
      </c>
    </row>
    <row r="50" ht="15.75" customHeight="1">
      <c r="C50" s="9" t="s">
        <v>223</v>
      </c>
      <c r="D50" s="9" t="s">
        <v>224</v>
      </c>
      <c r="E50" s="9">
        <v>10.0</v>
      </c>
      <c r="F50" s="9">
        <v>10.0</v>
      </c>
      <c r="G50" s="9">
        <f t="shared" si="1"/>
        <v>100</v>
      </c>
      <c r="H50" s="15" t="s">
        <v>228</v>
      </c>
    </row>
    <row r="51" ht="15.75" customHeight="1">
      <c r="C51" s="9"/>
      <c r="D51" s="9" t="s">
        <v>232</v>
      </c>
      <c r="E51" s="9">
        <v>10.0</v>
      </c>
      <c r="F51" s="9">
        <v>13.0</v>
      </c>
      <c r="G51" s="9">
        <f t="shared" si="1"/>
        <v>130</v>
      </c>
      <c r="H51" s="15" t="s">
        <v>251</v>
      </c>
    </row>
    <row r="52" ht="15.75" customHeight="1">
      <c r="C52" s="9" t="s">
        <v>50</v>
      </c>
      <c r="D52" s="9" t="s">
        <v>238</v>
      </c>
      <c r="E52" s="9">
        <v>10.0</v>
      </c>
      <c r="F52" s="9">
        <v>10.0</v>
      </c>
      <c r="G52" s="9">
        <f t="shared" si="1"/>
        <v>100</v>
      </c>
      <c r="H52" s="15" t="s">
        <v>240</v>
      </c>
    </row>
    <row r="53" ht="15.75" customHeight="1">
      <c r="C53" s="9"/>
      <c r="D53" s="9" t="s">
        <v>241</v>
      </c>
      <c r="E53" s="9">
        <v>10.0</v>
      </c>
      <c r="F53" s="9">
        <v>5.5</v>
      </c>
      <c r="G53" s="9">
        <f t="shared" si="1"/>
        <v>55</v>
      </c>
      <c r="H53" s="15" t="s">
        <v>242</v>
      </c>
    </row>
    <row r="54" ht="15.75" customHeight="1">
      <c r="C54" s="9" t="s">
        <v>243</v>
      </c>
      <c r="D54" s="9" t="s">
        <v>244</v>
      </c>
      <c r="E54" s="9">
        <v>10.0</v>
      </c>
      <c r="F54" s="9">
        <v>25.0</v>
      </c>
      <c r="G54" s="9">
        <f t="shared" si="1"/>
        <v>250</v>
      </c>
      <c r="H54" s="15" t="s">
        <v>245</v>
      </c>
    </row>
    <row r="55" ht="15.75" customHeight="1">
      <c r="C55" s="9" t="s">
        <v>246</v>
      </c>
      <c r="D55" s="9" t="s">
        <v>247</v>
      </c>
      <c r="E55" s="9">
        <v>5.0</v>
      </c>
      <c r="F55" s="9">
        <v>35.0</v>
      </c>
      <c r="G55" s="9">
        <f t="shared" si="1"/>
        <v>175</v>
      </c>
      <c r="H55" s="15" t="s">
        <v>248</v>
      </c>
    </row>
    <row r="56" ht="15.75" customHeight="1">
      <c r="C56" s="9"/>
      <c r="D56" s="9" t="s">
        <v>249</v>
      </c>
      <c r="E56" s="9">
        <v>5.0</v>
      </c>
      <c r="F56" s="9">
        <v>42.0</v>
      </c>
      <c r="G56" s="9">
        <f t="shared" si="1"/>
        <v>210</v>
      </c>
      <c r="H56" s="15" t="s">
        <v>250</v>
      </c>
    </row>
    <row r="57" ht="15.75" customHeight="1">
      <c r="C57" s="9"/>
      <c r="D57" s="9" t="s">
        <v>252</v>
      </c>
      <c r="E57" s="9">
        <v>5.0</v>
      </c>
      <c r="F57" s="9">
        <v>45.0</v>
      </c>
      <c r="G57" s="9">
        <f t="shared" si="1"/>
        <v>225</v>
      </c>
      <c r="H57" s="15" t="s">
        <v>253</v>
      </c>
    </row>
    <row r="58" ht="15.75" customHeight="1">
      <c r="C58" s="9" t="s">
        <v>254</v>
      </c>
      <c r="D58" s="9" t="s">
        <v>255</v>
      </c>
      <c r="E58" s="9">
        <v>5.0</v>
      </c>
      <c r="F58" s="9">
        <v>35.0</v>
      </c>
      <c r="G58" s="9">
        <f t="shared" si="1"/>
        <v>175</v>
      </c>
      <c r="H58" s="15" t="s">
        <v>256</v>
      </c>
    </row>
    <row r="59" ht="15.75" customHeight="1">
      <c r="C59" s="9" t="s">
        <v>257</v>
      </c>
      <c r="D59" s="9" t="s">
        <v>258</v>
      </c>
      <c r="E59" s="9">
        <v>5.0</v>
      </c>
      <c r="F59" s="9">
        <v>28.0</v>
      </c>
      <c r="G59" s="9">
        <f t="shared" si="1"/>
        <v>140</v>
      </c>
      <c r="H59" s="15" t="s">
        <v>259</v>
      </c>
    </row>
    <row r="60" ht="15.75" customHeight="1">
      <c r="C60" s="9"/>
      <c r="D60" s="9" t="s">
        <v>260</v>
      </c>
      <c r="E60" s="9">
        <v>5.0</v>
      </c>
      <c r="F60" s="9">
        <v>30.0</v>
      </c>
      <c r="G60" s="9">
        <f t="shared" si="1"/>
        <v>150</v>
      </c>
      <c r="H60" s="15" t="s">
        <v>261</v>
      </c>
    </row>
    <row r="61" ht="15.75" customHeight="1">
      <c r="C61" s="9"/>
      <c r="D61" s="9" t="s">
        <v>262</v>
      </c>
      <c r="E61" s="9">
        <v>5.0</v>
      </c>
      <c r="F61" s="9">
        <v>30.0</v>
      </c>
      <c r="G61" s="9">
        <f t="shared" si="1"/>
        <v>150</v>
      </c>
      <c r="H61" s="15" t="s">
        <v>263</v>
      </c>
    </row>
    <row r="62" ht="15.75" customHeight="1">
      <c r="C62" s="9" t="s">
        <v>264</v>
      </c>
      <c r="D62" s="9" t="s">
        <v>265</v>
      </c>
      <c r="E62" s="9">
        <v>2.0</v>
      </c>
      <c r="F62" s="9">
        <v>68.0</v>
      </c>
      <c r="G62" s="9">
        <f t="shared" si="1"/>
        <v>136</v>
      </c>
      <c r="H62" s="15" t="s">
        <v>266</v>
      </c>
    </row>
    <row r="63" ht="15.75" customHeight="1">
      <c r="C63" s="9"/>
      <c r="D63" s="9" t="s">
        <v>267</v>
      </c>
      <c r="E63" s="9">
        <v>5.0</v>
      </c>
      <c r="F63" s="9">
        <v>14.0</v>
      </c>
      <c r="G63" s="9">
        <f t="shared" si="1"/>
        <v>70</v>
      </c>
      <c r="H63" s="15" t="s">
        <v>268</v>
      </c>
    </row>
    <row r="64" ht="15.75" customHeight="1">
      <c r="C64" s="9"/>
      <c r="D64" s="9" t="s">
        <v>264</v>
      </c>
      <c r="E64" s="9">
        <v>10.0</v>
      </c>
      <c r="F64" s="9">
        <v>46.0</v>
      </c>
      <c r="G64" s="9">
        <f t="shared" si="1"/>
        <v>460</v>
      </c>
      <c r="H64" s="15" t="s">
        <v>269</v>
      </c>
    </row>
    <row r="65" ht="15.75" customHeight="1">
      <c r="C65" s="9" t="s">
        <v>270</v>
      </c>
      <c r="D65" s="9" t="s">
        <v>271</v>
      </c>
      <c r="E65" s="9">
        <v>5.0</v>
      </c>
      <c r="F65" s="9">
        <v>65.0</v>
      </c>
      <c r="G65" s="9">
        <f t="shared" si="1"/>
        <v>325</v>
      </c>
      <c r="H65" s="15" t="s">
        <v>272</v>
      </c>
    </row>
    <row r="66" ht="15.75" customHeight="1">
      <c r="C66" s="9"/>
      <c r="D66" s="9" t="s">
        <v>273</v>
      </c>
      <c r="E66" s="9">
        <v>5.0</v>
      </c>
      <c r="F66" s="9">
        <v>32.0</v>
      </c>
      <c r="G66" s="9">
        <f t="shared" si="1"/>
        <v>160</v>
      </c>
      <c r="H66" s="15" t="s">
        <v>274</v>
      </c>
    </row>
    <row r="67" ht="15.75" customHeight="1">
      <c r="C67" s="22" t="s">
        <v>275</v>
      </c>
      <c r="D67" s="23"/>
      <c r="E67" s="23"/>
      <c r="F67" s="24"/>
      <c r="G67" s="25">
        <f>SUM(G45:G66)</f>
        <v>7006</v>
      </c>
    </row>
    <row r="68" ht="15.75" customHeight="1">
      <c r="C68" s="3"/>
      <c r="D68" s="3"/>
      <c r="E68" s="3"/>
      <c r="F68" s="3"/>
      <c r="G68" s="26"/>
    </row>
    <row r="69" ht="15.75" customHeight="1">
      <c r="B69" s="3"/>
      <c r="C69" s="7" t="s">
        <v>80</v>
      </c>
      <c r="D69" s="7" t="s">
        <v>81</v>
      </c>
      <c r="E69" s="7" t="s">
        <v>82</v>
      </c>
      <c r="F69" s="7" t="s">
        <v>83</v>
      </c>
      <c r="G69" s="7" t="s">
        <v>84</v>
      </c>
      <c r="H69" s="3" t="s">
        <v>85</v>
      </c>
    </row>
    <row r="70" ht="15.75" customHeight="1">
      <c r="C70" s="9" t="s">
        <v>277</v>
      </c>
      <c r="D70" s="9" t="s">
        <v>278</v>
      </c>
      <c r="E70" s="9">
        <v>5.0</v>
      </c>
      <c r="F70" s="9">
        <v>27.0</v>
      </c>
      <c r="G70" s="9">
        <f t="shared" ref="G70:G73" si="2">F70*E70</f>
        <v>135</v>
      </c>
      <c r="H70" s="15" t="s">
        <v>279</v>
      </c>
    </row>
    <row r="71" ht="15.75" customHeight="1">
      <c r="C71" s="9"/>
      <c r="D71" s="9" t="s">
        <v>280</v>
      </c>
      <c r="E71" s="9">
        <v>5.0</v>
      </c>
      <c r="F71" s="9">
        <v>15.0</v>
      </c>
      <c r="G71" s="9">
        <f t="shared" si="2"/>
        <v>75</v>
      </c>
      <c r="H71" s="15" t="s">
        <v>281</v>
      </c>
    </row>
    <row r="72" ht="15.75" customHeight="1">
      <c r="C72" s="9"/>
      <c r="D72" s="9" t="s">
        <v>282</v>
      </c>
      <c r="E72" s="9">
        <v>5.0</v>
      </c>
      <c r="F72" s="9">
        <v>26.0</v>
      </c>
      <c r="G72" s="9">
        <f t="shared" si="2"/>
        <v>130</v>
      </c>
      <c r="H72" s="15" t="s">
        <v>283</v>
      </c>
    </row>
    <row r="73" ht="15.75" customHeight="1">
      <c r="C73" s="9"/>
      <c r="D73" s="9" t="s">
        <v>284</v>
      </c>
      <c r="E73" s="9">
        <v>5.0</v>
      </c>
      <c r="F73" s="9">
        <v>145.0</v>
      </c>
      <c r="G73" s="9">
        <f t="shared" si="2"/>
        <v>725</v>
      </c>
      <c r="H73" s="15" t="s">
        <v>285</v>
      </c>
    </row>
    <row r="74" ht="15.75" customHeight="1">
      <c r="C74" s="22" t="s">
        <v>275</v>
      </c>
      <c r="D74" s="23"/>
      <c r="E74" s="23"/>
      <c r="F74" s="24"/>
      <c r="G74" s="25">
        <f>SUM(G70:G73)</f>
        <v>1065</v>
      </c>
    </row>
    <row r="75" ht="15.75" customHeight="1"/>
    <row r="76" ht="15.75" customHeight="1">
      <c r="C76" s="7" t="s">
        <v>80</v>
      </c>
      <c r="D76" s="7" t="s">
        <v>81</v>
      </c>
      <c r="E76" s="7" t="s">
        <v>82</v>
      </c>
      <c r="F76" s="7" t="s">
        <v>83</v>
      </c>
      <c r="G76" s="7" t="s">
        <v>84</v>
      </c>
      <c r="H76" s="3" t="s">
        <v>85</v>
      </c>
    </row>
    <row r="77" ht="15.75" customHeight="1">
      <c r="C77" s="9" t="s">
        <v>286</v>
      </c>
      <c r="D77" s="9" t="s">
        <v>287</v>
      </c>
      <c r="E77" s="9">
        <v>5.0</v>
      </c>
      <c r="F77" s="9">
        <v>400.0</v>
      </c>
      <c r="G77" s="9">
        <f>F77*E77</f>
        <v>2000</v>
      </c>
      <c r="H77" s="15" t="s">
        <v>288</v>
      </c>
    </row>
    <row r="78" ht="15.75" customHeight="1">
      <c r="C78" s="22" t="s">
        <v>275</v>
      </c>
      <c r="D78" s="23"/>
      <c r="E78" s="23"/>
      <c r="F78" s="24"/>
      <c r="G78" s="25">
        <f>SUM(G77)</f>
        <v>2000</v>
      </c>
    </row>
    <row r="79" ht="15.75" customHeight="1"/>
    <row r="80" ht="15.75" customHeight="1">
      <c r="B80" s="6" t="s">
        <v>276</v>
      </c>
    </row>
    <row r="81" ht="15.75" customHeight="1"/>
    <row r="82" ht="15.75" customHeight="1">
      <c r="C82" s="7" t="s">
        <v>80</v>
      </c>
      <c r="D82" s="7" t="s">
        <v>81</v>
      </c>
      <c r="E82" s="7" t="s">
        <v>82</v>
      </c>
      <c r="F82" s="7" t="s">
        <v>83</v>
      </c>
      <c r="G82" s="7" t="s">
        <v>84</v>
      </c>
      <c r="H82" s="3" t="s">
        <v>85</v>
      </c>
    </row>
    <row r="83" ht="15.75" customHeight="1">
      <c r="C83" s="9" t="s">
        <v>277</v>
      </c>
      <c r="D83" s="9" t="s">
        <v>394</v>
      </c>
      <c r="E83" s="9">
        <v>5.0</v>
      </c>
      <c r="F83" s="9">
        <v>39.0</v>
      </c>
      <c r="G83" s="9">
        <f>F83*E83</f>
        <v>195</v>
      </c>
      <c r="H83" s="15" t="s">
        <v>395</v>
      </c>
    </row>
    <row r="84" ht="15.75" customHeight="1">
      <c r="C84" s="22" t="s">
        <v>275</v>
      </c>
      <c r="D84" s="23"/>
      <c r="E84" s="23"/>
      <c r="F84" s="24"/>
      <c r="G84" s="25">
        <f>SUM(G83)</f>
        <v>195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67:F67"/>
    <mergeCell ref="C74:F74"/>
    <mergeCell ref="C78:F78"/>
    <mergeCell ref="C84:F84"/>
  </mergeCells>
  <hyperlinks>
    <hyperlink r:id="rId1" ref="H45"/>
    <hyperlink r:id="rId2" ref="H46"/>
    <hyperlink r:id="rId3" ref="H47"/>
    <hyperlink r:id="rId4" ref="H48"/>
    <hyperlink r:id="rId5" ref="H49"/>
    <hyperlink r:id="rId6" ref="H50"/>
    <hyperlink r:id="rId7" ref="H51"/>
    <hyperlink r:id="rId8" ref="H52"/>
    <hyperlink r:id="rId9" ref="H53"/>
    <hyperlink r:id="rId10" ref="H54"/>
    <hyperlink r:id="rId11" ref="H55"/>
    <hyperlink r:id="rId12" ref="H56"/>
    <hyperlink r:id="rId13" ref="H57"/>
    <hyperlink r:id="rId14" ref="H58"/>
    <hyperlink r:id="rId15" ref="H59"/>
    <hyperlink r:id="rId16" ref="H60"/>
    <hyperlink r:id="rId17" ref="H61"/>
    <hyperlink r:id="rId18" ref="H62"/>
    <hyperlink r:id="rId19" ref="H63"/>
    <hyperlink r:id="rId20" ref="H64"/>
    <hyperlink r:id="rId21" ref="H65"/>
    <hyperlink r:id="rId22" ref="H66"/>
    <hyperlink r:id="rId23" ref="H70"/>
    <hyperlink r:id="rId24" ref="H71"/>
    <hyperlink r:id="rId25" ref="H72"/>
    <hyperlink r:id="rId26" ref="H73"/>
    <hyperlink r:id="rId27" ref="H77"/>
    <hyperlink r:id="rId28" ref="H8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9"/>
</worksheet>
</file>