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
    </mc:Choice>
  </mc:AlternateContent>
  <xr:revisionPtr revIDLastSave="0" documentId="8_{BE433F47-03A7-4325-9C9E-13EDC40142D3}" xr6:coauthVersionLast="47" xr6:coauthVersionMax="47" xr10:uidLastSave="{00000000-0000-0000-0000-000000000000}"/>
  <bookViews>
    <workbookView xWindow="28680" yWindow="-120" windowWidth="29040" windowHeight="15720" activeTab="4" xr2:uid="{00000000-000D-0000-FFFF-FFFF00000000}"/>
  </bookViews>
  <sheets>
    <sheet name="Tổng quan" sheetId="1" r:id="rId1"/>
    <sheet name="Học cụ &amp; nền tảng" sheetId="2" r:id="rId2"/>
    <sheet name="Ma trận kiến thức" sheetId="3" r:id="rId3"/>
    <sheet name="Toàn bộ 96 buổi" sheetId="4" r:id="rId4"/>
    <sheet name="K01 Nhà lập trình nhí" sheetId="5" r:id="rId5"/>
    <sheet name="K02 Sensor Lab" sheetId="6" r:id="rId6"/>
    <sheet name="K03 Smart Home" sheetId="7" r:id="rId7"/>
    <sheet name="K04 Mechanical Maker" sheetId="8" r:id="rId8"/>
    <sheet name="K05 Robotics" sheetId="9" r:id="rId9"/>
    <sheet name="K06 Inventor Lab" sheetId="10" r:id="rId10"/>
    <sheet name="Nguồn tham khảo" sheetId="11" r:id="rId11"/>
    <sheet name="Lịch ôn &amp; bài test" sheetId="12" r:id="rId12"/>
    <sheet name="Rubric 5 năng lực" sheetId="13" r:id="rId13"/>
    <sheet name="Phiếu theo dõi học viên" sheetId="14" r:id="rId14"/>
    <sheet name="Bài tập thực hành 96 buổi" sheetId="15" r:id="rId15"/>
    <sheet name="Bản đồ ôn xoắn ốc" sheetId="16" r:id="rId1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14" l="1"/>
  <c r="L24" i="14" s="1"/>
  <c r="K23" i="14"/>
  <c r="L23" i="14" s="1"/>
  <c r="K22" i="14"/>
  <c r="L22" i="14" s="1"/>
  <c r="K21" i="14"/>
  <c r="L21" i="14" s="1"/>
  <c r="K20" i="14"/>
  <c r="L20" i="14" s="1"/>
  <c r="K19" i="14"/>
  <c r="L19" i="14" s="1"/>
  <c r="K18" i="14"/>
  <c r="L18" i="14" s="1"/>
  <c r="K17" i="14"/>
  <c r="L17" i="14" s="1"/>
  <c r="K16" i="14"/>
  <c r="L16" i="14" s="1"/>
  <c r="K15" i="14"/>
  <c r="L15" i="14" s="1"/>
  <c r="K14" i="14"/>
  <c r="L14" i="14" s="1"/>
  <c r="K13" i="14"/>
  <c r="L13" i="14" s="1"/>
  <c r="K12" i="14"/>
  <c r="L12" i="14" s="1"/>
  <c r="K11" i="14"/>
  <c r="L11" i="14" s="1"/>
  <c r="K10" i="14"/>
  <c r="L10" i="14" s="1"/>
  <c r="K9" i="14"/>
  <c r="L9" i="14" s="1"/>
  <c r="K8" i="14"/>
  <c r="L8" i="14" s="1"/>
  <c r="K7" i="14"/>
  <c r="L7" i="14" s="1"/>
  <c r="F4" i="1"/>
  <c r="H4" i="1" s="1"/>
  <c r="F5" i="1" s="1"/>
  <c r="D5" i="1" l="1"/>
</calcChain>
</file>

<file path=xl/sharedStrings.xml><?xml version="1.0" encoding="utf-8"?>
<sst xmlns="http://schemas.openxmlformats.org/spreadsheetml/2006/main" count="4150" uniqueCount="2081">
  <si>
    <t>CHƯƠNG TRÌNH STEM STARTER KIT • 6 KHÓA – 96 BUỔI (THỰC HỌC)</t>
  </si>
  <si>
    <t>Bản thiết kế lại: trẻ khám phá khái niệm bằng làm thật, tái sử dụng kỹ năng ở tình huống mới, có thử thách độc lập – phản hồi – sản phẩm V1/V2. Không học sensor bằng công thức trước trải nghiệm.</t>
  </si>
  <si>
    <t>Số khóa</t>
  </si>
  <si>
    <t>Buổi/khóa</t>
  </si>
  <si>
    <t>Tổng số buổi</t>
  </si>
  <si>
    <t>Số tuần @2 buổi</t>
  </si>
  <si>
    <t>Phút/buổi</t>
  </si>
  <si>
    <t>Tổng giờ học</t>
  </si>
  <si>
    <t>Tháng học xấp xỉ</t>
  </si>
  <si>
    <t>Nhịp học</t>
  </si>
  <si>
    <t>2 buổi/tuần</t>
  </si>
  <si>
    <t>Mã</t>
  </si>
  <si>
    <t>Giai đoạn</t>
  </si>
  <si>
    <t>Độ tuổi</t>
  </si>
  <si>
    <t>Tên khóa</t>
  </si>
  <si>
    <t>Trọng tâm</t>
  </si>
  <si>
    <t>Sản phẩm cuối khóa</t>
  </si>
  <si>
    <t>Điều kiện đầu vào</t>
  </si>
  <si>
    <t>Chuẩn đầu ra</t>
  </si>
  <si>
    <t>K01</t>
  </si>
  <si>
    <t>Giai đoạn 1 – Học qua làm thật</t>
  </si>
  <si>
    <t>7–9 tuổi</t>
  </si>
  <si>
    <t>Yolo:Bit – Nhà lập trình nhí</t>
  </si>
  <si>
    <t>Kỹ năng code chỉ giới thiệu khi trẻ cần cho trò chơi thật; nút, đèn, âm thanh, lặp, biến, sửa lỗi gặp lại qua nhiều sản phẩm.</t>
  </si>
  <si>
    <t>Hệ thống tín hiệu do bé tạo V1→V2, có khách thật đến thử.</t>
  </si>
  <si>
    <t>Hoàn thành Rio hoặc nhận biết chuỗi lệnh, nút và biểu tượng.</t>
  </si>
  <si>
    <t>Tự tạo tín hiệu từ nút/đèn; tự thay tham số, dùng lặp và giải thích lỗi đơn giản.</t>
  </si>
  <si>
    <t>K02</t>
  </si>
  <si>
    <t>Giai đoạn 2 – Học qua làm thật</t>
  </si>
  <si>
    <t>7–10 tuổi</t>
  </si>
  <si>
    <t>Sensor Lab – Giác quan của máy</t>
  </si>
  <si>
    <t>Mọi khái niệm về cảm biến đều đến từ việc chơi và tạo ra đèn chào tay, chuông cửa, gậy báo, máy rửa tay, chậu cây; không học tính toán, ADC hay hiệu chuẩn lý thuyết.</t>
  </si>
  <si>
    <t>Một thiết bị sensor có ích: gậy/đèn/máy rửa tay/chậu cây V2.</t>
  </si>
  <si>
    <t>Hoàn thành K01: biết nút là input và điều kiện nếu–thì trực quan.</t>
  </si>
  <si>
    <t>Chọn đúng sensor, thử 2 tình huống gần/xa hoặc khô/ẩm, điều chỉnh vạch kích hoạt và kể được máy hành động thế nào.</t>
  </si>
  <si>
    <t>K03</t>
  </si>
  <si>
    <t>Giai đoạn 3 – Học qua làm thật</t>
  </si>
  <si>
    <t>8–10 tuổi</t>
  </si>
  <si>
    <t>Smart Home Engineer</t>
  </si>
  <si>
    <t>Làm từng thiết bị phục vụ đời sống, sau đó ghép 2 thiết bị. Trẻ học servo, keypad, điều kiện ngay trên vật thật, chưa bắt làm hệ thống phức tạp quá sớm.</t>
  </si>
  <si>
    <t>Sa bàn nhà 2–3 chức năng, có người dùng thử và V2 cải tiến.</t>
  </si>
  <si>
    <t>Hoàn thành K02; làm được ít nhất một hệ sensor–output.</t>
  </si>
  <si>
    <t>Điều khiển được servo; cửa mã, đèn và thùng rác hoạt động theo yêu cầu; trẻ giải thích một lỗi và hướng sửa.</t>
  </si>
  <si>
    <t>K04</t>
  </si>
  <si>
    <t>Giai đoạn 4 – Học qua làm thật</t>
  </si>
  <si>
    <t>Mechanical Maker – Xưởng cơ khí</t>
  </si>
  <si>
    <t>Mỗi cơ cấu được thử qua ít nhất hai tình huống; đặt câu hỏi lực/ma sát/góc khi robot hoạt động, không giảng công thức vật lý.</t>
  </si>
  <si>
    <t>Một máy chuyển động V2 có đo/so sánh trước–sau.</t>
  </si>
  <si>
    <t>Đã điều khiển servo và hiểu lệnh chạy/dừng cơ bản.</t>
  </si>
  <si>
    <t>Tự chọn motor hay servo; lắp cơ cấu và cải tiến dựa trên ít nhất hai lần thử với vật thật.</t>
  </si>
  <si>
    <t>K05</t>
  </si>
  <si>
    <t>Giai đoạn 5 – Học qua làm thật</t>
  </si>
  <si>
    <t>8–11 tuổi</t>
  </si>
  <si>
    <t>Robotics Engineer</t>
  </si>
  <si>
    <t>Giữ nguyên một chassis để tăng dần năng lực: đi đúng→giao hàng→điều khiển→nhận vật cản→né→gắp; không tháo lắp lại toàn bộ mỗi buổi.</t>
  </si>
  <si>
    <t>Robot cứu hộ V2 vượt được thử thách tự chọn trên sa bàn.</t>
  </si>
  <si>
    <t>Đã biết motor, servo, lắp cơ khí và thử sensor an toàn.</t>
  </si>
  <si>
    <t>Làm chủ di chuyển hai motor; dùng cảm biến tránh vật; điều khiển tay kẹp và tự sửa một lỗi đường đi.</t>
  </si>
  <si>
    <t>K06</t>
  </si>
  <si>
    <t>Giai đoạn 6 – Học qua làm thật</t>
  </si>
  <si>
    <t>9–12 tuổi</t>
  </si>
  <si>
    <t>Inventor Lab – Nhà sáng chế</t>
  </si>
  <si>
    <t>Làm prototype ngay B1, không học nhiều buổi lý thuyết về design thinking; sơ đồ, dữ liệu và cải tiến chỉ xuất hiện khi sản phẩm cần.</t>
  </si>
  <si>
    <t>Inventor Expo với một sản phẩm hữu ích do nhóm tự chọn, có V1/V2 và người dùng thử.</t>
  </si>
  <si>
    <t>Đã học cách sử dụng sensor, motor và ít nhất một dự án tự động.</t>
  </si>
  <si>
    <t>Tự chọn vấn đề, thử một cách giải bằng kit, lấy phản hồi, sửa V2 và giải thích tác dụng thật.</t>
  </si>
  <si>
    <t>NGUYÊN TẮC DẠY MỚI – TRẢI NGHIỆM TRƯỚC, GIẢI THÍCH SAU</t>
  </si>
  <si>
    <t>1) Không dạy lý thuyết thành một buổi tách rời: mô hình/trò chơi chạy trước, giải thích một khái niệm đúng lúc trẻ cần.
2) Mỗi buổi có: gợi nhớ 2–4 phút → thử thật → học một khái niệm vừa đủ → tự đổi một điều kiện → trình bày. Không gò đúng phút cho từng phần.
3) Một kỹ năng quay lại ở bối cảnh khác: nút→đèn→cửa; đo gần xa→gậy→bơm→robot; motor→cáp→robot di động.
4) Kiểm tra là nhiệm vụ thao tác nhỏ, không phải giấy kiểm tra lý thuyết. Chỉ ghi mức trợ giúp và bằng chứng độc lập.
5) K02 không yêu cầu công thức siêu âm, trung bình, điện áp ADC, hysteresis, phần trăm chuẩn hóa; trẻ so trực tiếp gần/xa, khô/ẩm và chọn vạch bằng thử nghiệm.
6) Bảo vệ an toàn: board tránh nước; gas chỉ giáo viên demo dữ liệu; quạt có lồng; vật phóng mềm; không dùng sản phẩm lớp thay thiết bị an toàn thật.</t>
  </si>
  <si>
    <t>MỐC NĂNG LỰC SAU MỖI KHÓA</t>
  </si>
  <si>
    <t>Năng lực</t>
  </si>
  <si>
    <t>Mục tiêu cuối</t>
  </si>
  <si>
    <t>Lập trình</t>
  </si>
  <si>
    <t>Sequence, Event, Loop, If, Variable</t>
  </si>
  <si>
    <t>Ngưỡng &amp; dữ liệu sensor</t>
  </si>
  <si>
    <t>State, string, multi-output</t>
  </si>
  <si>
    <t>Code điều khiển cơ cấu</t>
  </si>
  <si>
    <t>Robot control &amp; autonomy</t>
  </si>
  <si>
    <t>Refactor, modular logic</t>
  </si>
  <si>
    <t>Tự chọn cấu trúc code phù hợp bài toán</t>
  </si>
  <si>
    <t>Điện tử/Cảm biến</t>
  </si>
  <si>
    <t>Input/Output cơ bản</t>
  </si>
  <si>
    <t>Ultrasonic, gas, soil</t>
  </si>
  <si>
    <t>Phối hợp nhiều module</t>
  </si>
  <si>
    <t>Motor/servo ứng dụng</t>
  </si>
  <si>
    <t>Sensor trên robot</t>
  </si>
  <si>
    <t>Tự chọn module theo requirement</t>
  </si>
  <si>
    <t>Thiết kế hệ thống cảm biến–chấp hành</t>
  </si>
  <si>
    <t>Cơ khí</t>
  </si>
  <si>
    <t>Lắp module đơn giản</t>
  </si>
  <si>
    <t>Prototype sensor</t>
  </si>
  <si>
    <t>Servo &amp; mô hình nhà</t>
  </si>
  <si>
    <t>Lực, ma sát, truyền động</t>
  </si>
  <si>
    <t>Chassis, gripper, payload</t>
  </si>
  <si>
    <t>Prototype mở</t>
  </si>
  <si>
    <t>Thiết kế, build và tối ưu cơ cấu</t>
  </si>
  <si>
    <t>Debug</t>
  </si>
  <si>
    <t>Checklist cơ bản</t>
  </si>
  <si>
    <t>Calibration &amp; test ngưỡng</t>
  </si>
  <si>
    <t>Test state &amp; tích hợp</t>
  </si>
  <si>
    <t>Đổi 1 biến/lần</t>
  </si>
  <si>
    <t>Test strategy, reliability</t>
  </si>
  <si>
    <t>Hypothesis→isolate→regression</t>
  </si>
  <si>
    <t>Debug phần cứng/phần mềm có hệ thống</t>
  </si>
  <si>
    <t>Thiết kế</t>
  </si>
  <si>
    <t>Storyboard nhỏ</t>
  </si>
  <si>
    <t>Chọn ngưỡng theo dữ liệu</t>
  </si>
  <si>
    <t>Sơ đồ hệ thống</t>
  </si>
  <si>
    <t>Criteria &amp; optimization</t>
  </si>
  <si>
    <t>Mission planning</t>
  </si>
  <si>
    <t>Problem→V1→User Test→V2</t>
  </si>
  <si>
    <t>Giải quyết bài toán mới bằng bằng chứng</t>
  </si>
  <si>
    <t>NHỊP 16 BUỔI – KHÔNG CHIA GIAI ĐOẠN KIỂM TRA CỨNG</t>
  </si>
  <si>
    <t>Trải nghiệm</t>
  </si>
  <si>
    <t>Buổi (linh hoạt)</t>
  </si>
  <si>
    <t>Cách tổ chức</t>
  </si>
  <si>
    <t>Minh chứng thực tế</t>
  </si>
  <si>
    <t>Gặp ý tưởng mới</t>
  </si>
  <si>
    <t>Xen kẽ ở mọi buổi</t>
  </si>
  <si>
    <t>Đầu tiên cho trẻ nhìn máy chạy / làm mẫu thật, rồi trẻ tự thay tham số.</t>
  </si>
  <si>
    <t>Ảnh hoặc video thử V1.</t>
  </si>
  <si>
    <t>Lặp lại kỹ năng</t>
  </si>
  <si>
    <t>Sau 1–3 buổi và khi gặp dự án mới</t>
  </si>
  <si>
    <t>Đặt cùng khái niệm trong một câu chuyện khác: chuông cửa→gậy→robot.</t>
  </si>
  <si>
    <t>Giải thích bằng lời + một thao tác.</t>
  </si>
  <si>
    <t>Bài tập ứng dụng</t>
  </si>
  <si>
    <t>Ngay mỗi buổi</t>
  </si>
  <si>
    <t>Thẻ tình huống mới hoặc người dùng khác; không cho mã nguồn nguyên bài.</t>
  </si>
  <si>
    <t>Kết quả hai tình huống tự làm.</t>
  </si>
  <si>
    <t>Điểm chạm đánh giá</t>
  </si>
  <si>
    <t>Khi dự án đủ chức năng</t>
  </si>
  <si>
    <t>3 quan sát/khóa: nhiệm vụ thực tế trong hành trình; không bắt buộc cùng số buổi giữa các khóa.</t>
  </si>
  <si>
    <t>Hành động độc lập, lỗi sửa, phản hồi.</t>
  </si>
  <si>
    <t>Làm V1 rồi V2</t>
  </si>
  <si>
    <t>Ở các cặp buổi dự án</t>
  </si>
  <si>
    <t>Nâng cấp cùng sản phẩm bằng thay một yếu tố – tránh làm mới toàn bộ.</t>
  </si>
  <si>
    <t>So sánh thử trước–sau.</t>
  </si>
  <si>
    <t>Ngày hội cuối khóa</t>
  </si>
  <si>
    <t>Buổi 16</t>
  </si>
  <si>
    <t>Trẻ tự thao tác, giới thiệu, nhận thử thách bất ngờ và nói giới hạn.</t>
  </si>
  <si>
    <t>Demo + ảnh sản phẩm + nhận xét GV.</t>
  </si>
  <si>
    <t>HỌC CỤ, AN TOÀN &amp; CÁCH DẠY THỰC HÀNH</t>
  </si>
  <si>
    <t>Chương trình 96 buổi sau chỉnh sửa; một bộ kit dùng lại qua nhiều buổi và có thể giữ mẫu V1 để trẻ cải tiến ở buổi sau. Phân nhóm phù hợp khả năng từng trẻ.</t>
  </si>
  <si>
    <t>Khóa</t>
  </si>
  <si>
    <t>Học cụ chính</t>
  </si>
  <si>
    <t>Module khai thác</t>
  </si>
  <si>
    <t>Tổ chức lớp khuyến nghị</t>
  </si>
  <si>
    <t>Chuẩn bị trước buổi</t>
  </si>
  <si>
    <t>Rủi ro chính</t>
  </si>
  <si>
    <t>Kiểm soát an toàn</t>
  </si>
  <si>
    <t>Starter Kit + Yolo:Bit + App</t>
  </si>
  <si>
    <t>RGB, buttons, speaker, digital input</t>
  </si>
  <si>
    <t>1 kit/2 học sinh; 1 thiết bị/2 học sinh; đổi vai Coder–Builder mỗi 15–20 phút.</t>
  </si>
  <si>
    <t>Sạc/nguồn; kết nối App; code mẫu; kiểm tra cổng.</t>
  </si>
  <si>
    <t>Sai cổng/chập dây, màn hình quá lâu.</t>
  </si>
  <si>
    <t>Ngắt nguồn khi đổi dây; checklist 3 bước; học theo chặng giấy→App→phần cứng.</t>
  </si>
  <si>
    <t>K01 + sensor set + pump</t>
  </si>
  <si>
    <t>Ultrasonic, gas, soil moisture, pump, LED/speaker</t>
  </si>
  <si>
    <t>Nhóm 2; mỗi trẻ phải tự thay ít nhất một khối hoặc thử điều kiện mới; có cốc khô/ẩm, khay nước riêng.</t>
  </si>
  <si>
    <t>GV chuẩn bị 3 mẫu đất; mẫu báo gần–xa; bảng 2 tình huống; bơm khay tách board; demo gas an toàn.</t>
  </si>
  <si>
    <t>Nước gần board; sensor đọc dao động; hiểu ngưỡng như phép tính bắt buộc; demo gas không an toàn.</t>
  </si>
  <si>
    <t>Không yêu cầu giải công thức; trải nghiệm trước rồi mới gọi tên ngưỡng; board xa nước; chỉ GV trình diễn gas bằng dữ liệu an toàn.</t>
  </si>
  <si>
    <t>Starter Kit Super + mô hình nhà</t>
  </si>
  <si>
    <t>Servo, keypad, ultrasonic, gas, soil, pump, DC fan</t>
  </si>
  <si>
    <t>Nhóm 2–3; chia module rồi tích hợp; có bàn Integration riêng.</t>
  </si>
  <si>
    <t>Prototype servo angles; test keypad; sơ đồ cổng; vật liệu nhà.</t>
  </si>
  <si>
    <t>Kẹp tay servo; motor/quạt; tích hợp dây rối.</t>
  </si>
  <si>
    <t>Dừng nguồn trước chỉnh cơ khí; lồng quạt; Design Review trước Run.</t>
  </si>
  <si>
    <t>Starter Kit Super + 300+ chi tiết</t>
  </si>
  <si>
    <t>2 DC motor, servo, cơ cấu, dây/trục, thuyền</t>
  </si>
  <si>
    <t>Nhóm 2–3; bàn Build và vùng Test tách nhau.</t>
  </si>
  <si>
    <t>Chuẩn bị lane, thước, stopwatch, vùng bắn mềm, khay nước.</t>
  </si>
  <si>
    <t>Phần quay, vật phóng, nước, chi tiết lỏng.</t>
  </si>
  <si>
    <t>Vật phóng foam; vùng test có biên; tóc/tay tránh motor; board không chạm nước.</t>
  </si>
  <si>
    <t>Starter Kit Super + sa bàn robot</t>
  </si>
  <si>
    <t>2 motor, ultrasonic, servo/gripper, remote/App</t>
  </si>
  <si>
    <t>1 robot/2–3 trẻ; lane riêng; vai Driver–Engineer–Observer luân phiên.</t>
  </si>
  <si>
    <t>Calibrate motor; dựng vật cản mềm; kiểm tra pin/dây/gripper.</t>
  </si>
  <si>
    <t>Robot lao khỏi bàn, kẹp tay, dây vướng bánh.</t>
  </si>
  <si>
    <t>Tốc độ giới hạn; Stop dễ truy cập; chỉ nhấc khi motor dừng; vật mềm.</t>
  </si>
  <si>
    <t>Toàn bộ kit + vật liệu maker</t>
  </si>
  <si>
    <t>Tùy dự án; ưu tiên tái sử dụng module đã học</t>
  </si>
  <si>
    <t>Nhóm 2–3; Design Review bắt buộc trước build; milestone check mỗi 20 phút.</t>
  </si>
  <si>
    <t>Problem brief; rubric; test plan; vật liệu an toàn; module dự phòng.</t>
  </si>
  <si>
    <t>Tự ý thêm phần cứng/nguồn, scope quá lớn.</t>
  </si>
  <si>
    <t>Chỉ module đã duyệt; prototype tối thiểu; checklist an toàn theo loại dự án.</t>
  </si>
  <si>
    <t>KHUNG 90 PHÚT LINH HOẠT – MỤC TIÊU LÀ TRẺ CÓ THỜI GIAN LÀM THẬT</t>
  </si>
  <si>
    <t>Thành phần</t>
  </si>
  <si>
    <t>Khoảng phút tham khảo</t>
  </si>
  <si>
    <t>Mục đích</t>
  </si>
  <si>
    <t>GV làm gì?</t>
  </si>
  <si>
    <t>Bé làm gì?</t>
  </si>
  <si>
    <t>Minh chứng</t>
  </si>
  <si>
    <t>Điều chỉnh</t>
  </si>
  <si>
    <t>Mở trò chơi</t>
  </si>
  <si>
    <t>5–10</t>
  </si>
  <si>
    <t>Gợi một vấn đề thật, gợi lại bài cũ.</t>
  </si>
  <si>
    <t>Cho xem vật/máy chạy, hỏi 1 câu.</t>
  </si>
  <si>
    <t>Dự đoán bằng lời hoặc thẻ.</t>
  </si>
  <si>
    <t>Dự đoán đầu.</t>
  </si>
  <si>
    <t>Không giảng dài đầu giờ.</t>
  </si>
  <si>
    <t>Thử vật thật</t>
  </si>
  <si>
    <t>10–15</t>
  </si>
  <si>
    <t>Có điều bất ngờ để hỏi tại sao.</t>
  </si>
  <si>
    <t>Cho thử 2–3 tình huống có kiểm soát.</t>
  </si>
  <si>
    <t>Chạm/quan sát/so sánh.</t>
  </si>
  <si>
    <t>Ảnh hai trạng thái.</t>
  </si>
  <si>
    <t>Với lớp chậm có thể dài hơn.</t>
  </si>
  <si>
    <t>Hiểu vừa đủ</t>
  </si>
  <si>
    <t>5–10, xen kẽ</t>
  </si>
  <si>
    <t>Tên khái niệm xuất hiện đúng lúc cần.</t>
  </si>
  <si>
    <t>Chỉ giải thích 1–2 khái niệm qua sản phẩm.</t>
  </si>
  <si>
    <t>Nói điều vừa nhận ra.</t>
  </si>
  <si>
    <t>Một câu giải thích.</t>
  </si>
  <si>
    <t>Không có bài lý thuyết dài riêng.</t>
  </si>
  <si>
    <t>Làm – code – chơi</t>
  </si>
  <si>
    <t>30–40</t>
  </si>
  <si>
    <t>Mỗi bé có thao tác tạo sản phẩm.</t>
  </si>
  <si>
    <t>Gợi ý từng nấc, không làm hộ.</t>
  </si>
  <si>
    <t>Lắp và code, đổi vai.</t>
  </si>
  <si>
    <t>V1 hoạt động.</t>
  </si>
  <si>
    <t>Dự án cơ khí dùng mẫu lắp trước.</t>
  </si>
  <si>
    <t>Đổi tình huống</t>
  </si>
  <si>
    <t>15–20</t>
  </si>
  <si>
    <t>Thử độc lập, phát hiện và sửa lỗi.</t>
  </si>
  <si>
    <t>Rút thẻ vấn đề mới, quan sát.</t>
  </si>
  <si>
    <t>Tự thay một yếu tố rồi thử lại.</t>
  </si>
  <si>
    <t>Ảnh/clip V1→V2.</t>
  </si>
  <si>
    <t>Bài test gắn trong trò chơi.</t>
  </si>
  <si>
    <t>Kể lại</t>
  </si>
  <si>
    <t>Ghi nhớ bằng lời và chuyển giao.</t>
  </si>
  <si>
    <t>Hỏi làm gì, vì sao, đã sửa gì.</t>
  </si>
  <si>
    <t>Mỗi bé nói một ý, dọn kit.</t>
  </si>
  <si>
    <t>Clip 20–40 giây.</t>
  </si>
  <si>
    <t>Thời lượng có thể co giãn.</t>
  </si>
  <si>
    <t>PHẦN CỨNG MỞ RỘNG – KHÔNG TÍNH TRONG 96 BUỔI</t>
  </si>
  <si>
    <t>Robot dò đường: tài liệu dự án chính thức sử dụng 2 DC motor + cảm biến dò đường ở cổng C. Vì cảm biến dò đường không nằm trong cấu hình lõi dùng để thiết kế track này, xếp thành Workshop mở rộng 2 buổi: E1 – Đọc line đen/trắng &amp; điều khiển trái/phải; E2 – Line Following Challenge &amp; tuning. Chỉ đưa vào chương trình chuẩn khi trung tâm đã chuẩn hóa module.</t>
  </si>
  <si>
    <t>GIÁO VIÊN HỖ TRỢ KHÁC NHAU – KHÔNG BẮT MỌI LỚP CHẠY CÙNG ĐỊNH MỨC</t>
  </si>
  <si>
    <t>Tình huống</t>
  </si>
  <si>
    <t>Điểm bắt đầu</t>
  </si>
  <si>
    <t>Nhiệm vụ tối thiểu</t>
  </si>
  <si>
    <t>Tăng độ khó</t>
  </si>
  <si>
    <t>Với bé cần giúp</t>
  </si>
  <si>
    <t>Cách GV quan sát</t>
  </si>
  <si>
    <t>Mới gặp một module</t>
  </si>
  <si>
    <t>Thử mẫu 2 trạng thái.</t>
  </si>
  <si>
    <t>Mỗi bé đổi một lệnh và quan sát.</t>
  </si>
  <si>
    <t>Không đưa mẫu code, tự tìm đúng block.</t>
  </si>
  <si>
    <t>Cho sơ đồ 3 thẻ Input–Điều kiện–Output.</t>
  </si>
  <si>
    <t>Tự làm được gì không nhắc?</t>
  </si>
  <si>
    <t>Video bé tự chỉnh code.</t>
  </si>
  <si>
    <t>Sản phẩm chưa hoạt động</t>
  </si>
  <si>
    <t>Quan sát vật thật và dây.</t>
  </si>
  <si>
    <t>Sửa một lỗi khiến chức năng chính chạy.</t>
  </si>
  <si>
    <t>Tạo test mới tránh lặp lỗi.</t>
  </si>
  <si>
    <t>Hỏi lỗi ở input hay output trước, không cầm tay làm.</t>
  </si>
  <si>
    <t>Trẻ có nêu nguyên nhân?</t>
  </si>
  <si>
    <t>Một lần thử sai và sau sửa.</t>
  </si>
  <si>
    <t>Bé xong sớm</t>
  </si>
  <si>
    <t>Cho bạn khác dùng thử.</t>
  </si>
  <si>
    <t>Giải thích vì sao máy chạy.</t>
  </si>
  <si>
    <t>Đổi người dùng, ngưỡng, tải hoặc bố trí.</t>
  </si>
  <si>
    <t>Không bắt làm thêm nếu chưa hiểu nguyên lý.</t>
  </si>
  <si>
    <t>Giải thích được dưới điều kiện khác?</t>
  </si>
  <si>
    <t>V2 hoặc phiếu thay đổi.</t>
  </si>
  <si>
    <t>Bài sensor K02</t>
  </si>
  <si>
    <t>Tay/vật/đất thật trước.</t>
  </si>
  <si>
    <t>Chạy 2 ca gần–xa hoặc khô–ẩm.</t>
  </si>
  <si>
    <t>Tự chọn mức kích hoạt và kiểm tra thêm.</t>
  </si>
  <si>
    <t>Dùng thẻ màu/vạch dán thay số liệu dài.</t>
  </si>
  <si>
    <t>Chọn mức từ trải nghiệm thay vì thuộc số?</t>
  </si>
  <si>
    <t>Ảnh hai mẫu thử.</t>
  </si>
  <si>
    <t>Dự án cơ khí</t>
  </si>
  <si>
    <t>Dùng khung pre-build nếu khó.</t>
  </si>
  <si>
    <t>Lắp – chạy – sửa một chi tiết.</t>
  </si>
  <si>
    <t>Thử vật/tải mới, so trước–sau.</t>
  </si>
  <si>
    <t>Giữ mẫu V1 để buổi sau cải tiến.</t>
  </si>
  <si>
    <t>Nhận ra lực, ma sát bằng thay đổi?</t>
  </si>
  <si>
    <t>Hình V1/V2 và giải thích.</t>
  </si>
  <si>
    <t>MA TRẬN KIẾN THỨC &amp; NĂNG LỰC</t>
  </si>
  <si>
    <t>Mức độ: G = Giới thiệu, T = Thực hành có hướng dẫn, U = Ứng dụng độc lập, M = Tích hợp/Mastery ở mức chương trình.</t>
  </si>
  <si>
    <t>Nhóm kiến thức</t>
  </si>
  <si>
    <t>Chuẩn đầu ra cuối track</t>
  </si>
  <si>
    <t>Input–Process–Output</t>
  </si>
  <si>
    <t>T</t>
  </si>
  <si>
    <t>U</t>
  </si>
  <si>
    <t>M</t>
  </si>
  <si>
    <t>Tự mô hình hóa hệ thống từ sensor/input tới actuator/output.</t>
  </si>
  <si>
    <t>Sequence / Timing</t>
  </si>
  <si>
    <t>Thiết kế trình tự nhiều bước và test timing.</t>
  </si>
  <si>
    <t>Event</t>
  </si>
  <si>
    <t>G</t>
  </si>
  <si>
    <t>Kết hợp sự kiện người dùng với trạng thái hệ thống.</t>
  </si>
  <si>
    <t>Loop</t>
  </si>
  <si>
    <t>Dùng lặp để rút gọn và điều khiển hành vi liên tục.</t>
  </si>
  <si>
    <t>Condition / Boolean</t>
  </si>
  <si>
    <t>Thiết kế logic điều kiện nhiều trường hợp và test matrix.</t>
  </si>
  <si>
    <t>Variable / State</t>
  </si>
  <si>
    <t>Quản lý trạng thái, bộ đếm, mode và dữ liệu.</t>
  </si>
  <si>
    <t>Random</t>
  </si>
  <si>
    <t>Dùng random khi phù hợp, hiểu giới hạn.</t>
  </si>
  <si>
    <t>Sensor data &amp; threshold</t>
  </si>
  <si>
    <t>Đo, hiệu chuẩn, chọn ngưỡng bằng dữ liệu.</t>
  </si>
  <si>
    <t>String / Keypad</t>
  </si>
  <si>
    <t>-</t>
  </si>
  <si>
    <t>Đọc/so sánh chuỗi và thiết kế giao diện nhập.</t>
  </si>
  <si>
    <t>Servo / position</t>
  </si>
  <si>
    <t>Chọn góc, giới hạn và tích hợp cơ cấu servo an toàn.</t>
  </si>
  <si>
    <t>DC motor / speed</t>
  </si>
  <si>
    <t>Điều khiển chiều/tốc độ, hiểu tải và sai khác motor.</t>
  </si>
  <si>
    <t>Cơ khí / lực / ma sát</t>
  </si>
  <si>
    <t>Thiết kế cấu trúc, cân bằng, truyền động và tối ưu bằng thử nghiệm.</t>
  </si>
  <si>
    <t>Robot differential drive</t>
  </si>
  <si>
    <t>Điều khiển, hiệu chỉnh và lập chiến lược di chuyển robot.</t>
  </si>
  <si>
    <t>Chẩn đoán lỗi bằng giả thuyết, test cô lập và regression.</t>
  </si>
  <si>
    <t>Engineering design</t>
  </si>
  <si>
    <t>Problem→Requirement→Prototype→Test→V2→Pitch.</t>
  </si>
  <si>
    <t>Communication</t>
  </si>
  <si>
    <t>Giải thích sản phẩm bằng sơ đồ, dữ liệu và giới hạn.</t>
  </si>
  <si>
    <t>TOÀN BỘ 96 BUỔI • HỌC QUA THỰC HÀNH &amp; SẢN PHẨM</t>
  </si>
  <si>
    <t>6 khóa × 16 buổi; ôn ngắn xen trong hoạt động; mỗi buổi có chế tạo/trò chơi, tình huống mới, mini test thực tế – không bắt buộc kiểm tra định kỳ cứng.</t>
  </si>
  <si>
    <t>Tuổi</t>
  </si>
  <si>
    <t>Buổi</t>
  </si>
  <si>
    <t>Loại hoạt động</t>
  </si>
  <si>
    <t>Chủ đề</t>
  </si>
  <si>
    <t>Mục tiêu qua thực hành</t>
  </si>
  <si>
    <t>Kiến thức phát hiện</t>
  </si>
  <si>
    <t>Làm ngay ở lớp</t>
  </si>
  <si>
    <t>Thử thách đổi điều kiện</t>
  </si>
  <si>
    <t>Sản phẩm</t>
  </si>
  <si>
    <t>Minh chứng tự làm</t>
  </si>
  <si>
    <t>Lưu ý an toàn</t>
  </si>
  <si>
    <t>Làm thử ngay</t>
  </si>
  <si>
    <t>Rio gặp Yolo:Bit</t>
  </si>
  <si>
    <t>Chạy được một chương trình đơn giản và nhận ra máy đang thực hiện lệnh nào.</t>
  </si>
  <si>
    <t>Bộ điều khiển; chương trình; nút Run/Stop; Input → Output.</t>
  </si>
  <si>
    <t>Theo cặp ghép thẻ lệnh với hành động; kết nối App, chạy chương trình hiển thị hình mặt cười và thay hình khác.</t>
  </si>
  <si>
    <t>Tự đổi một khối để hiện trái tim; cho bạn đoán kết quả rồi mới chạy.</t>
  </si>
  <si>
    <t>Yolo:Bit hiện 2 hình khác nhau theo lệnh.</t>
  </si>
  <si>
    <t>Tự chỉ đúng khối gây ra thay đổi và dừng được chương trình.</t>
  </si>
  <si>
    <t>Ngắt nguồn trước khi đổi dây; không nhìn LED nhấp nháy nhanh quá lâu; giữ âm lượng vừa.</t>
  </si>
  <si>
    <t>Khám phá + chế tạo</t>
  </si>
  <si>
    <t>Đèn cảm xúc nhiều màu</t>
  </si>
  <si>
    <t>Điều khiển LED RGB và nêu được màu nào ứng với thông điệp nhóm chọn.</t>
  </si>
  <si>
    <t>Output; màu LED; tham số màu.</t>
  </si>
  <si>
    <t>Cắm đúng LED theo sơ đồ kiểm tra; chạy đỏ, xanh, vàng; tạo 3 “tâm trạng” bằng màu.</t>
  </si>
  <si>
    <t>Thiết kế ngôn ngữ đèn riêng cho lớp; bạn khác đoán thông điệp.</t>
  </si>
  <si>
    <t>Đèn cảm xúc 3–4 trạng thái.</t>
  </si>
  <si>
    <t>Không nhìn mẫu, đổi một màu theo yêu cầu bất ngờ của cô.</t>
  </si>
  <si>
    <t>Thực hành</t>
  </si>
  <si>
    <t>Nút A, B điều khiển đèn</t>
  </si>
  <si>
    <t>Tự ghép một nút với một phản hồi và giải thích nút là đầu vào.</t>
  </si>
  <si>
    <t>Nút A/B; sự kiện; Input → Output.</t>
  </si>
  <si>
    <t>Lập trình A→xanh và B→đỏ; kiểm tra mỗi nút 3 lần, đảo nhiệm vụ cho bạn.</t>
  </si>
  <si>
    <t>Thêm phản hồi khi bấm hai nút hoặc thêm tiếng chào.</t>
  </si>
  <si>
    <t>Bảng điều khiển bằng nút nhấn.</t>
  </si>
  <si>
    <t>GV đổi yêu cầu A/B; bé tự xác định khối cần sửa.</t>
  </si>
  <si>
    <t>Trò chơi ứng dụng</t>
  </si>
  <si>
    <t>Quầy tín hiệu của lớp</t>
  </si>
  <si>
    <t>Dùng LED và nút nhấn để giải quyết một nhu cầu đơn giản trong lớp.</t>
  </si>
  <si>
    <t>Ôn sự kiện; tín hiệu; kiểm tra theo yêu cầu.</t>
  </si>
  <si>
    <t>Nhóm đóng vai quầy “Đã xong/Cần trợ giúp”; tạo bảng màu và chương trình, đổi vai lập trình–người dùng.</t>
  </si>
  <si>
    <t>Nhóm bên cạnh đưa ra yêu cầu màu mới; sửa và giải thích lý do.</t>
  </si>
  <si>
    <t>Đèn hỗ trợ học tập dùng được.</t>
  </si>
  <si>
    <t>Trẻ tự thao tác khi không có đoạn code mẫu; kiểm tra hai nút đều đúng.</t>
  </si>
  <si>
    <t>Sân khấu ánh sáng biết chờ</t>
  </si>
  <si>
    <t>Sắp xếp lệnh và chỉnh thời gian để đèn đổi màu đúng nhịp.</t>
  </si>
  <si>
    <t>Trình tự; chờ (wait); thời gian.</t>
  </si>
  <si>
    <t>Tạo chuỗi 3 màu với thời gian chờ; vẽ 3 hình theo đúng trình tự rồi đối chiếu khi chạy.</t>
  </si>
  <si>
    <t>Cho đèn sáng theo nhịp vỗ tay nhanh/chậm; để bạn đoán thời gian chờ.</t>
  </si>
  <si>
    <t>Light show 10–20 giây.</t>
  </si>
  <si>
    <t>Chỉ ra vị trí đổi thời gian và sửa được hiệu ứng quá nhanh.</t>
  </si>
  <si>
    <t>Lặp qua trò chơi</t>
  </si>
  <si>
    <t>Vũ điệu đèn lặp lại</t>
  </si>
  <si>
    <t>Nhận diện chuỗi hành động giống nhau và dùng lặp để không kéo quá nhiều khối.</t>
  </si>
  <si>
    <t>Mẫu lặp; repeat; Stop.</t>
  </si>
  <si>
    <t>Dùng 2 khối màu + wait, lặp 3 lần; chạy phiên bản “viết dài” và phiên bản lặp để so.</t>
  </si>
  <si>
    <t>Ghép thêm âm báo sau mỗi chu kỳ; thử 2, 4 lần và dự đoán.</t>
  </si>
  <si>
    <t>Vũ điệu LED ngắn có repeat.</t>
  </si>
  <si>
    <t>Trẻ khoanh được đoạn lặp, cho chạy và dừng đúng lúc.</t>
  </si>
  <si>
    <t>Chơi tìm lỗi</t>
  </si>
  <si>
    <t>Bác sĩ đèn tín hiệu</t>
  </si>
  <si>
    <t>Tìm được một lỗi ở thứ tự hoặc thời gian và sửa bằng kiểm chứng.</t>
  </si>
  <si>
    <t>Debug; dự đoán; sửa một yếu tố/lần.</t>
  </si>
  <si>
    <t>GV cho 3 chương trình hỏng có chủ đích; trẻ quan sát, chọn 1 lỗi, sửa rồi thử.</t>
  </si>
  <si>
    <t>Đổi code của nhóm với nhóm khác để “khám bệnh”.</t>
  </si>
  <si>
    <t>Phiếu trước–sau khi sửa lỗi.</t>
  </si>
  <si>
    <t>Nêu được lỗi, một thay đổi đã thử và kết quả sau sửa.</t>
  </si>
  <si>
    <t>Mini Maker</t>
  </si>
  <si>
    <t>Đèn báo lớp học hai chế độ</t>
  </si>
  <si>
    <t>Kết hợp nút, màu và lặp trong một sản phẩm có người sử dụng thật.</t>
  </si>
  <si>
    <t>Sự kiện; lặp; lựa chọn điều kiện ở mức trực quan.</t>
  </si>
  <si>
    <t>Nhóm tự chọn hai chế độ; vẽ màn hình/đèn; lập trình và để bạn khác thử không hướng dẫn.</t>
  </si>
  <si>
    <t>Thêm chế độ “tạm dừng” hoặc nhịp chậm hơn; sửa theo phản hồi.</t>
  </si>
  <si>
    <t>Đèn hỗ trợ lớp học V1 và bản ghi phản hồi.</t>
  </si>
  <si>
    <t>Người dùng nhận ra 2 chế độ; mỗi bé nói được 1 block mình dùng.</t>
  </si>
  <si>
    <t>Máy đếm điểm trò chơi</t>
  </si>
  <si>
    <t>Dùng biến để giữ số điểm sau nhiều lần bấm.</t>
  </si>
  <si>
    <t>Biến như “hộp ghi nhớ”; tăng giá trị; hiển thị.</t>
  </si>
  <si>
    <t>Lập trình A tăng 1 điểm và hiển thị số; thi nhóm đoán điểm sau 3 lần bấm.</t>
  </si>
  <si>
    <t>Thêm B để đặt lại 0 hoặc trừ 1; thử sai tình huống nhiều lần bấm.</t>
  </si>
  <si>
    <t>Bộ đếm điểm Yolo:Bit.</t>
  </si>
  <si>
    <t>Tự nói được biến đang lưu gì; hiển thị đúng sau chuỗi 4 nút.</t>
  </si>
  <si>
    <t>Chiếc xúc xắc điện tử</t>
  </si>
  <si>
    <t>Dùng số ngẫu nhiên để làm một trò chơi, phân biệt với thứ tự cố định.</t>
  </si>
  <si>
    <t>Random trong phạm vi; sự kiện; biến.</t>
  </si>
  <si>
    <t>Bấm A cho số ngẫu nhiên 1–6; chơi xúc xắc cộng điểm trong nhóm 3 lượt.</t>
  </si>
  <si>
    <t>Tự thiết kế một trò chơi có luật thắng/thua đơn giản.</t>
  </si>
  <si>
    <t>Xúc xắc số và luật chơi nhóm.</t>
  </si>
  <si>
    <t>Thử 5 lần; bé nói vì sao kết quả có thể khác nhau.</t>
  </si>
  <si>
    <t>Thí nghiệm vui</t>
  </si>
  <si>
    <t>Đường dây báo động bí mật</t>
  </si>
  <si>
    <t>Phân biệt đường mạch kín/hở qua tín hiệu và chương trình đơn giản.</t>
  </si>
  <si>
    <t>Đầu vào số ở mức trực quan; phát hiện chạm/ngắt.</t>
  </si>
  <si>
    <t>Giáo viên dựng khung trò luồn dây điện áp thấp; trẻ thử đường mạch đóng/mở và gán LED/loa.</t>
  </si>
  <si>
    <t>Thiết kế thử thách luồn dây cho bạn, cải tiến để không báo nhầm.</t>
  </si>
  <si>
    <t>Trò luồn dây/chuông báo tiếp xúc.</t>
  </si>
  <si>
    <t>Tự nêu khi nào mạch “kết nối” và khi nào tín hiệu báo xuất hiện.</t>
  </si>
  <si>
    <t>Ngắt nguồn trước khi đổi dây; không nhìn LED nhấp nháy nhanh quá lâu; giữ âm lượng vừa. Cảm biến gas chỉ demo dữ liệu an toàn/giả lập, tuyệt đối không tạo nguồn khí hoặc lửa; không dùng làm thiết bị an toàn thật.</t>
  </si>
  <si>
    <t>Thử thách độc lập</t>
  </si>
  <si>
    <t>Trạm game không có code mẫu</t>
  </si>
  <si>
    <t>Vận dụng nút, biến, tín hiệu và debug trong một thử thách ngắn.</t>
  </si>
  <si>
    <t>Ôn sự kiện; biến; đầu ra; sửa lỗi.</t>
  </si>
  <si>
    <t>3 trạm chọn 2: bộ đếm A+, B-reset; xúc xắc; sửa trò luồn dây. GV không cấp code nguyên bài.</t>
  </si>
  <si>
    <t>Nhận yêu cầu mới: thêm âm báo khi đạt 5 điểm.</t>
  </si>
  <si>
    <t>Trò chơi hoạt động + bằng chứng tự sửa.</t>
  </si>
  <si>
    <t>Mỗi bé tự chỉnh 1 block và giải thích tác dụng.</t>
  </si>
  <si>
    <t>Dự án 2 buổi</t>
  </si>
  <si>
    <t>Đèn giao thông thành phố V1</t>
  </si>
  <si>
    <t>Lập trình đúng thứ tự tín hiệu và độ dài từng pha mô phỏng.</t>
  </si>
  <si>
    <t>Trình tự; thời gian; lặp chu kỳ.</t>
  </si>
  <si>
    <t>Lắp đèn giao thông RGB; kéo các pha đỏ→xanh→vàng, thời gian mẫu; thử một chu kỳ.</t>
  </si>
  <si>
    <t>Tự chọn thời gian cho khu vực trước cổng trường và giải thích.</t>
  </si>
  <si>
    <t>Đèn giao thông V1.</t>
  </si>
  <si>
    <t>Chỉ được thứ tự ba pha; thử 2 chu kỳ giống nhau.</t>
  </si>
  <si>
    <t>Đèn giao thông có người dùng V2</t>
  </si>
  <si>
    <t>Thêm tương tác/chế độ cho đèn giao thông mô phỏng và kiểm tra được nhiều tình huống.</t>
  </si>
  <si>
    <t>Sự kiện; chế độ; loop; kiểm thử.</t>
  </si>
  <si>
    <t>Giữ chương trình 3 màu; thêm nút đổi chế độ hoặc đèn vàng nhấp nháy mô phỏng ban đêm.</t>
  </si>
  <si>
    <t>Một nhóm đóng vai người tham gia giao thông, đưa 3 tình huống để nhóm khác sửa.</t>
  </si>
  <si>
    <t>Đèn giao thông V2 với nút đổi chế độ.</t>
  </si>
  <si>
    <t>Trình diễn ít nhất 2 chế độ và mô tả lỗi đã giải quyết.</t>
  </si>
  <si>
    <t>Xưởng sáng chế</t>
  </si>
  <si>
    <t>Thiết kế tín hiệu của riêng con</t>
  </si>
  <si>
    <t>Chọn một vấn đề nhỏ, tạo sản phẩm tín hiệu có ít nhất 2 điều khiển.</t>
  </si>
  <si>
    <t>Tổng hợp Input→Output; loop; if; thử nghiệm.</t>
  </si>
  <si>
    <t>Nhóm chọn báo hết giờ/báo cửa lớp/đèn chú ý; vẽ 3 bước rồi tự làm V1, đổi vai kiểm tra.</t>
  </si>
  <si>
    <t>Nhóm khác thử sản phẩm và ghi 1 điều muốn cải thiện; sửa thành V2.</t>
  </si>
  <si>
    <t>Sản phẩm tín hiệu V2 + phiếu góp ý.</t>
  </si>
  <si>
    <t>Từng bé tự giải thích một lệnh, kiểm thử hai tình huống thật.</t>
  </si>
  <si>
    <t>Trải nghiệm tổng kết</t>
  </si>
  <si>
    <t>Lễ hội nhà lập trình nhí</t>
  </si>
  <si>
    <t>Tự vận hành, giải thích và giới thiệu sản phẩm nhóm cho người khác.</t>
  </si>
  <si>
    <t>Ôn toàn K1; tự tin demo; nhận diện lỗi.</t>
  </si>
  <si>
    <t>Mỗi nhóm trưng bày; khách chọn 1 nút hoặc yêu cầu; trẻ tự diễn giải và thử.</t>
  </si>
  <si>
    <t>Cô thay đổi nhẹ yêu cầu; nhóm ứng biến hoặc nêu kế hoạch sửa.</t>
  </si>
  <si>
    <t>Maker Day K1: thiết bị tín hiệu có người trải nghiệm.</t>
  </si>
  <si>
    <t>Mỗi trẻ tự hoàn thành 1 thao tác và trả lời “vì sao”.</t>
  </si>
  <si>
    <t>Khám phá bằng vật thật</t>
  </si>
  <si>
    <t>Đèn chào tay – Máy có giác quan</t>
  </si>
  <si>
    <t>Lắp được đèn phản ứng khi đưa tay lại gần và gọi được phần cảm nhận, phần phát sáng.</t>
  </si>
  <si>
    <t>Cảm biến siêu âm là Input; LED là Output.</t>
  </si>
  <si>
    <t>GV đưa mẫu hoạt động trước; trẻ nối siêu âm với LED, thử đưa tay gần/xa và chỉ ra khi đèn đổi.</t>
  </si>
  <si>
    <t>Thay tay bằng quyển sách/khối gỗ, dự đoán cảm biến có nhận ra không.</t>
  </si>
  <si>
    <t>Đèn chào tay không chạm.</t>
  </si>
  <si>
    <t>Tự nói “sensor phát hiện → chương trình quyết định → đèn sáng”; demo 2 lần.</t>
  </si>
  <si>
    <t>Không đổi dây khi cấp điện; ngăn nước/đất tiếp xúc board; dùng nguồn, cổng đúng phiên bản kit.</t>
  </si>
  <si>
    <t>Đo bằng trò chơi</t>
  </si>
  <si>
    <t>Thước đo kỳ diệu</t>
  </si>
  <si>
    <t>Đọc được số đo cm và so sánh gần–xa bằng vật thật.</t>
  </si>
  <si>
    <t>Khoảng cách; đơn vị cm; thay đổi số đo.</t>
  </si>
  <si>
    <t>Đo bằng thước ở 10/20/30 cm, sau đó nhìn số hiện trên Yolo:Bit/App; trẻ dán thẻ xa–gần.</t>
  </si>
  <si>
    <t>Cho bạn giấu một vật ở khoảng cách bất ngờ rồi đọc và đo lại bằng thước.</t>
  </si>
  <si>
    <t>Bảng 3 khoảng cách có hình/nhãn.</t>
  </si>
  <si>
    <t>Chỉ được vật gần hơn và giá trị cm thay đổi cùng chiều; không cần công thức.</t>
  </si>
  <si>
    <t>Làm máy hữu ích</t>
  </si>
  <si>
    <t>Chuông cửa không cần bấm</t>
  </si>
  <si>
    <t>Dùng “nếu đủ gần thì báo” để tạo chuông cửa đơn giản.</t>
  </si>
  <si>
    <t>If/Else; ngưỡng như vạch quy ước.</t>
  </si>
  <si>
    <t>Nhóm chọn vị trí “cửa”; dùng thước đặt vạch 15–20 cm, kéo khối nếu khoảng cách nhỏ hơn vạch thì phát âm/đổi LED.</t>
  </si>
  <si>
    <t>Cho bạn thử đứng xa, gần và đúng quanh vạch; điều chỉnh vạch để không báo sai.</t>
  </si>
  <si>
    <t>Chuông cửa cảm biến khoảng cách V1.</t>
  </si>
  <si>
    <t>Tự kiểm tra 3 vị trí; giải thích “ngưỡng” bằng lời không cần phép tính.</t>
  </si>
  <si>
    <t>Thử nghiệm gần xa</t>
  </si>
  <si>
    <t>Đường hầm thử thách cảm biến</t>
  </si>
  <si>
    <t>Nhận ra cảm biến có thể đo khác nhau khi vật đổi bề mặt và vị trí.</t>
  </si>
  <si>
    <t>Đo thử; quan sát; kiểm tra lại thay vì tin một số đo.</t>
  </si>
  <si>
    <t>Lập 3 “cổng” bằng vật liệu; đi dọc đường hầm để xem báo đúng/sai; chỉ thay đổi một vị trí mỗi lần.</t>
  </si>
  <si>
    <t>Tự thay đổi hướng đặt vật, nói khi nào đo khó và làm cách nào thử lại.</t>
  </si>
  <si>
    <t>Bảng quan sát đường hầm + cảnh báo cải tiến.</t>
  </si>
  <si>
    <t>Biết mô tả 1 lần số đo bất thường và cách kiểm tra.</t>
  </si>
  <si>
    <t>Chế tạo cho đời sống</t>
  </si>
  <si>
    <t>Gậy cảnh báo vật cản V1</t>
  </si>
  <si>
    <t>Tạo tiếng hoặc đèn cảnh báo khi vật ở gần đầu cảm biến.</t>
  </si>
  <si>
    <t>Siêu âm + If/Else + loa/LED.</t>
  </si>
  <si>
    <t>Dùng ống bìa mô phỏng gậy, gắn cảm biến nhẹ và đèn/loa; thử 3 khoảng cách trên bàn.</t>
  </si>
  <si>
    <t>Hai mức cảnh báo gần/rất gần nếu nhóm đã làm xong; đổi âm sắc để dễ phân biệt.</t>
  </si>
  <si>
    <t>Mẫu gậy báo vật cản đặt bàn.</t>
  </si>
  <si>
    <t>Bạn khác thử không xem code và nói có hiểu tín hiệu không.</t>
  </si>
  <si>
    <t>Thử thách có quan sát</t>
  </si>
  <si>
    <t>Gậy thông minh gặp đường lạ</t>
  </si>
  <si>
    <t>Thay đổi tình huống, tìm và sửa lỗi báo động để sản phẩm dễ sử dụng hơn.</t>
  </si>
  <si>
    <t>Ngưỡng; kiểm tra tình huống; debug.</t>
  </si>
  <si>
    <t>Cô làm sẵn 2 lỗi (chọn vạch quá lớn, cắm sai cổng); nhóm tự quan sát, thử rồi sửa.</t>
  </si>
  <si>
    <t>Cho người dùng đi qua 3 điểm có vật mềm/cứng ở trạng thái mô phỏng; ghi đúng/sai.</t>
  </si>
  <si>
    <t>Gậy cảnh báo V2 + 3 lần thử.</t>
  </si>
  <si>
    <t>Trẻ tự nói 1 lỗi, 1 bước sửa và kết quả trước–sau.</t>
  </si>
  <si>
    <t>Dự án thực tế</t>
  </si>
  <si>
    <t>Máy rửa tay không chạm V1</t>
  </si>
  <si>
    <t>Điều khiển bơm hoạt động một khoảng ngắn khi phát hiện tay.</t>
  </si>
  <si>
    <t>Siêu âm → điều kiện → bơm.</t>
  </si>
  <si>
    <t>Giáo viên lắp sẵn khay và đường ống; bé kết nối phần an toàn, thử bơm bằng tay trước rồi dùng siêu âm.</t>
  </si>
  <si>
    <t>Đổi khoảng cách kích hoạt để phù hợp các bàn tay giả kích thước khác nhau.</t>
  </si>
  <si>
    <t>Máy rửa tay V1 trên khay khô/ướt tách biệt.</t>
  </si>
  <si>
    <t>Bơm không chạy khi không có tay; trẻ biết chỉ ra lệnh bật/tắt.</t>
  </si>
  <si>
    <t>Không đổi dây khi cấp điện; ngăn nước/đất tiếp xúc board; dùng nguồn, cổng đúng phiên bản kit. Nước tách biệt với mạch; bơm lượng nhỏ trên khay, không chạy khô.</t>
  </si>
  <si>
    <t>Mini Maker trải nghiệm</t>
  </si>
  <si>
    <t>Trạm rửa tay an toàn V2</t>
  </si>
  <si>
    <t>Cải tiến máy rửa tay để dùng ít nước hơn và tránh chạy liên tục.</t>
  </si>
  <si>
    <t>Độ dài bơm; thử các lần dùng; sửa điều kiện.</t>
  </si>
  <si>
    <t>Nhóm thử 3 lần, quan sát lượng nước bằng cốc có vạch/đánh dấu; thêm thời gian bơm ngắn và dừng.</t>
  </si>
  <si>
    <t>Cho bạn mới dùng thử và sửa vạch phát hiện/độ dài bơm.</t>
  </si>
  <si>
    <t>Máy rửa tay V2 + phiếu trước–sau.</t>
  </si>
  <si>
    <t>Mỗi trẻ chỉnh 1 tham số, giải thích vì sao lượng nước thay đổi.</t>
  </si>
  <si>
    <t>Cây của lớp có “khát” không?</t>
  </si>
  <si>
    <t>So sánh ba mẫu đất và nhận biết cảm biến độ ẩm phản ứng khác nhau.</t>
  </si>
  <si>
    <t>Độ ẩm đất; cảm biến đọc từ môi trường.</t>
  </si>
  <si>
    <t>Chạm đất bằng thìa/que (không tay trần nếu không muốn); cắm đầu dò vào mẫu khô, vừa ẩm, ướt; xếp thẻ theo thứ tự.</t>
  </si>
  <si>
    <t>Bé dự đoán rồi kiểm tra mẫu đất mới, nêu vì sao số đo có thể khác.</t>
  </si>
  <si>
    <t>Bảng 3 mẫu đất với nhãn màu.</t>
  </si>
  <si>
    <t>Nhận biết khô/ẩm/ướt; không bắt buộc nhớ số % hay công thức.</t>
  </si>
  <si>
    <t>Tự động hóa trực quan</t>
  </si>
  <si>
    <t>Đèn báo “con cần nước”</t>
  </si>
  <si>
    <t>Làm đèn báo khi đất khô và giải thích ngưỡng bằng mẫu đối chiếu.</t>
  </si>
  <si>
    <t>Dữ liệu ẩm; điều kiện nếu–thì; LED trạng thái.</t>
  </si>
  <si>
    <t>Trẻ chọn một mức từ ba cốc đất, thử chương trình LED đỏ khi khô/xanh khi đủ ẩm; đối chiếu với cảm nhận.</t>
  </si>
  <si>
    <t>Đổi “vạch báo” để thấy có trường hợp bật sai; nhóm chọn lại mức phù hợp.</t>
  </si>
  <si>
    <t>Đèn báo đất khô với ngưỡng do nhóm chọn.</t>
  </si>
  <si>
    <t>Tự trình diễn 2 mẫu đất khác nhau và giải thích màu đèn.</t>
  </si>
  <si>
    <t>Chế tạo ứng dụng</t>
  </si>
  <si>
    <t>Chậu cây tự tưới V1</t>
  </si>
  <si>
    <t>Kết hợp cảm biến độ ẩm và bơm để tưới khi đất quá khô.</t>
  </si>
  <si>
    <t>If/Else; sensor→pump; thời gian tưới.</t>
  </si>
  <si>
    <t>Trên khay chống nước, dùng cốc đất khô/ẩm để bật/tắt bơm vào cốc nhận; kiểm tra việc dừng.</t>
  </si>
  <si>
    <t>Dùng hai mẫu đất khác nhau để xem chương trình có quyết định giống mong muốn không.</t>
  </si>
  <si>
    <t>Chậu cây tưới tự động V1.</t>
  </si>
  <si>
    <t>Tự chỉ sensor nào đang đo và khi nào bơm phải dừng.</t>
  </si>
  <si>
    <t>Thử + cải tiến</t>
  </si>
  <si>
    <t>Chậu cây biết dừng đúng lúc V2</t>
  </si>
  <si>
    <t>Thử trường hợp đất chuyển từ khô sang ẩm và sửa để bơm không chạy kéo dài.</t>
  </si>
  <si>
    <t>Kiểm tra nhiều trạng thái; chờ; giới hạn thời gian.</t>
  </si>
  <si>
    <t>Nhóm thử đất khô→ẩm, ghi hai lần chạy, bổ sung giới hạn thời gian và kiểm tra sau bơm (tùy cấu hình).</t>
  </si>
  <si>
    <t>Một bạn cố tình đặt vạch sai; nhóm khác tìm vấn đề và chỉnh.</t>
  </si>
  <si>
    <t>Chậu cây V2 + 3 tình huống kiểm chứng.</t>
  </si>
  <si>
    <t>Có bằng chứng trước/sau: máy không bơm mãi khi đã đủ ẩm.</t>
  </si>
  <si>
    <t>Khám phá an toàn</t>
  </si>
  <si>
    <t>Thám tử môi trường: cảm biến khí</t>
  </si>
  <si>
    <t>Quan sát giáo viên trình diễn cảm biến khí và phân biệt nó với siêu âm, độ ẩm.</t>
  </si>
  <si>
    <t>Cảm biến khác nhau đo hiện tượng khác nhau; cảnh báo chỉ mang tính mô hình.</t>
  </si>
  <si>
    <t>Giáo viên cho xem dữ liệu/clip hoặc số đo kiểm thử an toàn đã chuẩn bị; học sinh ghép ảnh tình huống với cảm biến phù hợp.</t>
  </si>
  <si>
    <t>Dùng LED/loa để mô phỏng báo động khi nhập một giá trị giả lập; giải thích vì sao không phải máy báo khí đạt chuẩn.</t>
  </si>
  <si>
    <t>Bảng phân loại giác quan máy + demo an toàn.</t>
  </si>
  <si>
    <t>Kể tên đúng 3 loại cảm biến; không yêu cầu đọc cảm biến khí chi tiết.</t>
  </si>
  <si>
    <t>Không đổi dây khi cấp điện; ngăn nước/đất tiếp xúc board; dùng nguồn, cổng đúng phiên bản kit. Cảm biến gas chỉ demo dữ liệu an toàn/giả lập, tuyệt đối không tạo nguồn khí hoặc lửa; không dùng làm thiết bị an toàn thật.</t>
  </si>
  <si>
    <t>Trò chơi chọn giải pháp</t>
  </si>
  <si>
    <t>Hội chợ cảm biến – Chọn đúng trợ thủ</t>
  </si>
  <si>
    <t>Chọn được cảm biến phù hợp cho vấn đề mới và dựng bản thử nhỏ.</t>
  </si>
  <si>
    <t>Nhắc lại: siêu âm / đất / khí; Input–Output.</t>
  </si>
  <si>
    <t>Chia trạm; nhóm rút 1 mật thư, chọn thẻ sensor, dựng nguyên lý đơn giản và demo với mẫu vật hoặc dữ liệu mô phỏng.</t>
  </si>
  <si>
    <t>Đổi mật thư với nhóm khác, thay đổi đúng module và điều kiện.</t>
  </si>
  <si>
    <t>Sơ đồ chọn cảm biến + prototype ngắn.</t>
  </si>
  <si>
    <t>Tự giải thích lý do chọn sensor và một giới hạn của nó.</t>
  </si>
  <si>
    <t>Một sản phẩm chăm sóc thông minh</t>
  </si>
  <si>
    <t>Tự chọn vấn đề gần gũi và dùng kiến thức khoảng cách hoặc độ ẩm để tạo V1.</t>
  </si>
  <si>
    <t>Lựa chọn cảm biến; điều kiện; kiểm thử; sửa lỗi.</t>
  </si>
  <si>
    <t>Đội chọn đèn chuông cửa/gậy mẫu/chậu tự tưới; không cấp nguyên bài, chỉ cấp 4 tiêu chí.</t>
  </si>
  <si>
    <t>Người dùng nhóm khác thử 2 tình huống mới; chỉnh vạch hoặc thời gian thành V2.</t>
  </si>
  <si>
    <t>Sản phẩm cảm biến V2 + bảng 3 thử nghiệm.</t>
  </si>
  <si>
    <t>Từng bé chỉnh đúng ít nhất một khối và nói tác động.</t>
  </si>
  <si>
    <t>Ngày trải nghiệm</t>
  </si>
  <si>
    <t>Sensor Maker Day – Máy giúp ích cho đời sống</t>
  </si>
  <si>
    <t>Giới thiệu sản phẩm theo câu chuyện cảm biến thấy gì, máy làm gì và con đã cải tiến ra sao.</t>
  </si>
  <si>
    <t>Nhắc lại một ngưỡng có ý nghĩa từ trải nghiệm; debug.</t>
  </si>
  <si>
    <t>Nhóm trưng bày; khách đưa tay/vật/cốc đất; trẻ cho chạy, trả lời thắc mắc, ghi nhận phản hồi.</t>
  </si>
  <si>
    <t>GV thay đổi 1 tình huống, trẻ dự đoán hoạt động và đề xuất sửa.</t>
  </si>
  <si>
    <t>Triển lãm Sensor Lab + hồ sơ V1→V2.</t>
  </si>
  <si>
    <t>Trẻ mô tả sensor–điều kiện–hành động bằng lời và tự trình diễn.</t>
  </si>
  <si>
    <t>Khám phá cơ cấu</t>
  </si>
  <si>
    <t>Cánh cửa biết mở bằng servo</t>
  </si>
  <si>
    <t>Điều khiển góc quay an toàn và thấy sự khác nhau giữa dừng đúng vị trí và quay liên tục.</t>
  </si>
  <si>
    <t>Góc servo; vị trí; giới hạn cơ cấu.</t>
  </si>
  <si>
    <t>Gắn cánh cửa giấy với servo trên khung cố định; thử 3 góc đã duyệt, đánh dấu vùng an toàn.</t>
  </si>
  <si>
    <t>Một bạn dùng thước/góc mẫu ra yêu cầu mở rộng/hẹp, bạn khác chỉnh code.</t>
  </si>
  <si>
    <t>Cánh cửa servo có hai vị trí an toàn.</t>
  </si>
  <si>
    <t>Cửa mở được hai mức và không kẹt trong ít nhất 3 lần thử.</t>
  </si>
  <si>
    <t>Không kẹp tay vào servo; cố định dây và các module trước khi chạy.</t>
  </si>
  <si>
    <t>Bãi xe tự mở V1</t>
  </si>
  <si>
    <t>Kết hợp cảm biến siêu âm và servo mở cổng khi xe đến.</t>
  </si>
  <si>
    <t>Khoảng cách; ngưỡng; góc servo.</t>
  </si>
  <si>
    <t>Gắn xe đồ chơi, cảm biến, barrier; cho xe vào khoảng đã chọn, kiểm tra mở/đóng.</t>
  </si>
  <si>
    <t>Đổi xe to/nhỏ và vạch phát hiện, tìm chỗ đặt cảm biến hợp lý.</t>
  </si>
  <si>
    <t>Bãi đậu xe V1.</t>
  </si>
  <si>
    <t>Giải thích được cảm biến báo cho servo khi nào; chạy đúng với 2 xe.</t>
  </si>
  <si>
    <t>Thử nghiệm tình huống</t>
  </si>
  <si>
    <t>Bãi xe V2 – Không kẹt cổng</t>
  </si>
  <si>
    <t>Phát hiện cổng mở quá sớm/đóng quá nhanh rồi chỉnh chương trình.</t>
  </si>
  <si>
    <t>Wait; trạng thái mở–đóng; an toàn cơ khí.</t>
  </si>
  <si>
    <t>Thử 3 lượt xe chậm/nhanh; đổi một thời gian, so kết quả trước–sau.</t>
  </si>
  <si>
    <t>Thêm đèn đang mở/đang đóng để người dùng nhận ra tình trạng.</t>
  </si>
  <si>
    <t>Bãi xe V2 cùng nhật ký kiểm thử.</t>
  </si>
  <si>
    <t>Nêu được 1 lỗi và lý do chọn thời gian/góc sau cải tiến.</t>
  </si>
  <si>
    <t>Thực hành đời sống</t>
  </si>
  <si>
    <t>Thùng rác mở nắp không chạm</t>
  </si>
  <si>
    <t>Chuyển cấu trúc sensor–servo sang thiết bị mới không có mẫu code đầy đủ.</t>
  </si>
  <si>
    <t>Tái sử dụng nguyên lý cảm biến–cơ cấu.</t>
  </si>
  <si>
    <t>Lắp thùng giấy gắn nắp servo; làm nắp mở khi đưa tay gần, đóng khi rời tay.</t>
  </si>
  <si>
    <t>Đặt sensor thấp/cao để giảm mở nhầm; cho bạn dùng thử.</t>
  </si>
  <si>
    <t>Thùng rác tự mở V1.</t>
  </si>
  <si>
    <t>Trẻ tự chỉ được 2 khối có thể tái sử dụng từ bãi xe.</t>
  </si>
  <si>
    <t>Thùng rác biết chào – Thử người dùng</t>
  </si>
  <si>
    <t>Phối hợp đèn/âm báo với chuyển động và đánh giá trải nghiệm người dùng.</t>
  </si>
  <si>
    <t>Nhiều output; trình tự; phản hồi.</t>
  </si>
  <si>
    <t>Thêm một LED hoặc âm báo ngắn khi nắp mở; cho bạn khác thử mà không hướng dẫn.</t>
  </si>
  <si>
    <t>Sửa một phản hồi khiến người dùng khó hiểu (quá nhanh, quá ồn, mở không đúng lúc).</t>
  </si>
  <si>
    <t>Thùng rác V2 + phản hồi người thử.</t>
  </si>
  <si>
    <t>2/3 người dùng thử hiểu tín hiệu; từng trẻ giải thích một phần code.</t>
  </si>
  <si>
    <t>Khám phá giao diện</t>
  </si>
  <si>
    <t>Bàn phím mật mã bí mật</t>
  </si>
  <si>
    <t>Nhận ra máy phân biệt từng phím và dùng phím nhập để điều khiển một tín hiệu.</t>
  </si>
  <si>
    <t>Keypad; chuỗi ký tự ngắn; xác nhận.</t>
  </si>
  <si>
    <t>Kết nối keypad; bấm phím để Yolo hiển thị số; thử một mã ngắn do GV cho.</t>
  </si>
  <si>
    <t>Cho bạn “đặt mật mã” 2–3 ký tự rồi kiểm tra người khác gõ đúng.</t>
  </si>
  <si>
    <t>Bảng điều khiển nhập 2–3 ký tự.</t>
  </si>
  <si>
    <t>Tự chỉ ra sự khác nhau giữa bấm từng phím và bấm xác nhận.</t>
  </si>
  <si>
    <t>Cửa bí mật – Đúng mã mới mở</t>
  </si>
  <si>
    <t>Dùng mã nhập để ra quyết định mở hoặc giữ đóng servo.</t>
  </si>
  <si>
    <t>So sánh mã; if/else; servo.</t>
  </si>
  <si>
    <t>Dùng mã ngắn cố định; khi đúng mở cửa, khi sai đèn đỏ; thử hai lượt đúng/sai.</t>
  </si>
  <si>
    <t>Thiết kế thẻ hướng dẫn cho bạn khác tự dùng cửa.</t>
  </si>
  <si>
    <t>Cửa thông minh V1.</t>
  </si>
  <si>
    <t>Chạy được 2 trường hợp, nói được vì sao cửa không mở khi mã sai.</t>
  </si>
  <si>
    <t>Thử và sửa</t>
  </si>
  <si>
    <t>Cửa bí mật cho khách mới</t>
  </si>
  <si>
    <t>Thử nhập sai, nhập thiếu, nhập lại và cải thiện thông báo.</t>
  </si>
  <si>
    <t>Đặt lại input; trạng thái khóa/mở ở mức thực hành.</t>
  </si>
  <si>
    <t>Thử các thẻ tình huống: sai mã, chưa đủ mã, mã đúng; thêm nút/xử lý xóa hoặc thông báo.</t>
  </si>
  <si>
    <t>Đổi vai lập trình viên–người dùng; sửa điều khó hiểu nhất.</t>
  </si>
  <si>
    <t>Cửa thông minh V2 dễ sử dụng.</t>
  </si>
  <si>
    <t>Từng trẻ tự kiểm tra ba tình huống không cần xem lời giải.</t>
  </si>
  <si>
    <t>Trạm ghép hệ thống</t>
  </si>
  <si>
    <t>Một ngôi nhà – Hai thiết bị</t>
  </si>
  <si>
    <t>Chọn hai mô hình đã làm và cho chúng hoạt động độc lập trong cùng sa bàn.</t>
  </si>
  <si>
    <t>Phân chia chức năng; nguồn; kiểm thử từng phần.</t>
  </si>
  <si>
    <t>Nhóm chọn cửa + thùng rác hoặc barrier + đèn; thử từng cụm trước khi đặt vào sa bàn.</t>
  </si>
  <si>
    <t>Bạn khác cố tình đổi tình huống ở một cụm, nhóm kiểm tra cụm còn lại.</t>
  </si>
  <si>
    <t>Mô hình ngôi nhà hai chức năng V1.</t>
  </si>
  <si>
    <t>Phân biệt được hai chức năng; mỗi trẻ làm chủ 1 cụm.</t>
  </si>
  <si>
    <t>Ứng dụng mới</t>
  </si>
  <si>
    <t>Đèn bàn biết có người đến</t>
  </si>
  <si>
    <t>Chuyển nguyên lý siêu âm sang bật đèn tại góc học tập.</t>
  </si>
  <si>
    <t>Cảm biến hiện diện đơn giản; LED; thời gian bật.</t>
  </si>
  <si>
    <t>Lắp đèn bàn LED; khi đặt tượng người gần thì bật, xa thì tắt; thử các khoảng cách.</t>
  </si>
  <si>
    <t>Thêm thời gian sáng vừa đủ để không tắt ngay khi người nhúc nhích.</t>
  </si>
  <si>
    <t>Đèn bàn thông minh V1.</t>
  </si>
  <si>
    <t>Trẻ giải thích được tại sao đèn lúc bật/lúc tắt khi di chuyển vật.</t>
  </si>
  <si>
    <t>Dự án ứng dụng</t>
  </si>
  <si>
    <t>Góc học tập mát mẻ</t>
  </si>
  <si>
    <t>Bật đèn và quạt mô hình theo tín hiệu hiện diện, đảm bảo lồng chắn an toàn.</t>
  </si>
  <si>
    <t>Một input điều khiển hai output.</t>
  </si>
  <si>
    <t>Giáo viên chuẩn bị motor có lồng bảo vệ; nhóm lập trình bật đèn/quạt theo sensor, phân biệt chức năng.</t>
  </si>
  <si>
    <t>Thêm nút tắt thủ công hoặc trễ tắt đèn để người dùng kiểm soát.</t>
  </si>
  <si>
    <t>Bàn học đèn + quạt mô phỏng.</t>
  </si>
  <si>
    <t>Chạy được hai thiết bị; chỉ ra vì sao cần nút dừng.</t>
  </si>
  <si>
    <t>Trạm an toàn</t>
  </si>
  <si>
    <t>Nhà biết báo động</t>
  </si>
  <si>
    <t>Ghép thông báo đèn/loa với tình huống cảm biến môi trường mô phỏng.</t>
  </si>
  <si>
    <t>Đầu vào cảnh báo; tín hiệu nhiều dạng; kiểm tra.</t>
  </si>
  <si>
    <t>GV cung cấp số liệu gas mô phỏng/dữ liệu mẫu; trẻ tạo đèn đỏ + âm báo khi vượt vạch giả lập.</t>
  </si>
  <si>
    <t>Thêm nút im lặng trong mô hình và thông báo “đã nhận cảnh báo”.</t>
  </si>
  <si>
    <t>Hộp mô phỏng cảnh báo an toàn.</t>
  </si>
  <si>
    <t>Nêu rõ đây chỉ là mô hình học tập, không dùng làm thiết bị bảo vệ thật.</t>
  </si>
  <si>
    <t>Không kẹp tay vào servo; cố định dây và các module trước khi chạy. Cảm biến gas chỉ demo dữ liệu an toàn/giả lập, tuyệt đối không tạo nguồn khí hoặc lửa; không dùng làm thiết bị an toàn thật.</t>
  </si>
  <si>
    <t>Thử thách tích hợp</t>
  </si>
  <si>
    <t>Nhà thông minh xử lý khách đến</t>
  </si>
  <si>
    <t>Vận dụng cửa, đèn và tín hiệu theo 3 tình huống không được phát sẵn code mẫu.</t>
  </si>
  <si>
    <t>Nhiều điều kiện ở mức trực quan; chia nhỏ bài toán.</t>
  </si>
  <si>
    <t>Chọn 2 chức năng từ bộ thiết bị, vẽ thứ tự hoạt động bằng 3 thẻ, build và thử.</t>
  </si>
  <si>
    <t>Cô đảo thứ tự yêu cầu hoặc cho người dùng bấm sai mã rồi đúng mã.</t>
  </si>
  <si>
    <t>Mô hình hai chức năng đã chạy theo tình huống.</t>
  </si>
  <si>
    <t>Nhóm tự phát hiện một bước bị bỏ quên và sửa được.</t>
  </si>
  <si>
    <t>Xưởng thiết kế</t>
  </si>
  <si>
    <t>Chọn nhà thông minh của nhóm</t>
  </si>
  <si>
    <t>Chọn 2–3 chức năng hữu ích theo vật liệu có sẵn và dựng sơ đồ thử nghiệm đơn giản.</t>
  </si>
  <si>
    <t>Nhu cầu người dùng; Input–Output; kế hoạch lắp.</t>
  </si>
  <si>
    <t>Nhóm chọn một câu chuyện “bếp, cửa, góc học”, vẽ 3 bước; build phiên bản tối thiểu.</t>
  </si>
  <si>
    <t>Cho người dùng thử và ghi điều chưa phù hợp, ưu tiên 1 sửa đổi.</t>
  </si>
  <si>
    <t>Bản thiết kế + Smart Home V1.</t>
  </si>
  <si>
    <t>Mọi mô-đun đều có lý do xuất hiện; GV duyệt kết nối trước Run.</t>
  </si>
  <si>
    <t>Xưởng cải tiến</t>
  </si>
  <si>
    <t>Smart Home V2 – Kiểm tra như kỹ sư</t>
  </si>
  <si>
    <t>Dùng phản hồi thật để sửa một chức năng và kiểm tra lại các chức năng khác.</t>
  </si>
  <si>
    <t>Thử nhiều tình huống; sửa một yếu tố; V1→V2.</t>
  </si>
  <si>
    <t>Đổi nhóm kiểm thử; mỗi nhóm nhận 3 tình huống, sửa lỗi rồi thử lại tất cả.</t>
  </si>
  <si>
    <t>Trang trí bảng hướng dẫn sử dụng ngắn để khách tự thao tác.</t>
  </si>
  <si>
    <t>Ngôi nhà thông minh V2 + thẻ kiểm chứng.</t>
  </si>
  <si>
    <t>Có một thay đổi trước–sau và cả hai chức năng vẫn chạy.</t>
  </si>
  <si>
    <t>Ngày triển lãm</t>
  </si>
  <si>
    <t>Smart Home Expo – Nhà thông minh</t>
  </si>
  <si>
    <t>Tự trình diễn hai chức năng và giải thích sensor–chương trình–hành động bằng ngôn ngữ của mình.</t>
  </si>
  <si>
    <t>Tích hợp; hợp tác; kiểm tra độc lập.</t>
  </si>
  <si>
    <t>Từng trẻ phụ trách 1 thao tác: mở cửa/điều khiển đèn/giải thích cảnh báo; khách đưa yêu cầu.</t>
  </si>
  <si>
    <t>Nêu một giới hạn của mô hình và một điều sẽ sửa khi có thêm thời gian.</t>
  </si>
  <si>
    <t>Smart Home Expo V2 + video trình bày.</t>
  </si>
  <si>
    <t>Từng trẻ có thể vận hành sản phẩm và trình bày một lỗi đã sửa.</t>
  </si>
  <si>
    <t>Chạm và thử</t>
  </si>
  <si>
    <t>Động cơ làm vật quay</t>
  </si>
  <si>
    <t>Điều khiển motor DC quay/dừng theo hai hướng và nhận diện bộ phận quay.</t>
  </si>
  <si>
    <t>Động cơ DC; chiều; Stop.</t>
  </si>
  <si>
    <t>Lắp motor trên đế an toàn, chạy thuận–dừng–ngược; gắn đĩa giấy quan sát dấu chấm chuyển động.</t>
  </si>
  <si>
    <t>Thử làm đĩa quay chậm hoặc nhanh hơn theo giới hạn GV.</t>
  </si>
  <si>
    <t>Đĩa quay hai chiều trên đế.</t>
  </si>
  <si>
    <t>Tự kiểm tra dừng motor trước khi chạm cơ cấu.</t>
  </si>
  <si>
    <t>Khoanh vùng cơ cấu đang quay; dừng motor trước khi chạm hoặc đổi chi tiết.</t>
  </si>
  <si>
    <t>Thí nghiệm trực quan</t>
  </si>
  <si>
    <t>Chọn motor hay servo?</t>
  </si>
  <si>
    <t>Chọn đúng cơ cấu cho nhiệm vụ cần quay liên tục hoặc dừng ở vị trí.</t>
  </si>
  <si>
    <t>DC motor vs servo theo chức năng.</t>
  </si>
  <si>
    <t>Cho 2 trạm motor/servo chạy; trẻ ghép nhiệm vụ “cánh cửa, quạt, barrier, vòng quay”.</t>
  </si>
  <si>
    <t>Thử đổi motor cho cơ cấu không phù hợp rồi giải thích vì sao khó.</t>
  </si>
  <si>
    <t>Bảng chọn cơ cấu và hai thử nghiệm.</t>
  </si>
  <si>
    <t>Chọn đúng 3/4 nhiệm vụ bằng lý do thực tế.</t>
  </si>
  <si>
    <t>Vòng quay may mắn V1</t>
  </si>
  <si>
    <t>Làm vòng quay motor chạy và dừng khi bấm nút.</t>
  </si>
  <si>
    <t>Trình tự motor; nút; thời gian.</t>
  </si>
  <si>
    <t>Lắp vòng quay giấy được cố định; dùng A chạy trong thời gian ngắn rồi dừng.</t>
  </si>
  <si>
    <t>Cho bạn tự thay thời gian; so nơi kim chỉ sau các lần quay.</t>
  </si>
  <si>
    <t>Vòng quay may mắn V1.</t>
  </si>
  <si>
    <t>Trẻ biết nói rõ nút nào làm quay và vì sao phải dừng.</t>
  </si>
  <si>
    <t>Chỉnh và kiểm chứng</t>
  </si>
  <si>
    <t>Vòng quay may mắn V2 – Quay vừa đủ</t>
  </si>
  <si>
    <t>Quan sát quán tính/ma sát để cải thiện vòng quay không kẹt.</t>
  </si>
  <si>
    <t>Ma sát; thời gian quay; random ở mức chơi.</t>
  </si>
  <si>
    <t>Thử vòng quay có/không tải giấy, cùng thời gian; ghi 3 lần kết quả bằng sticker.</t>
  </si>
  <si>
    <t>Thay một yếu tố (giảm vật đính, chỉnh trục) để quay ổn hơn.</t>
  </si>
  <si>
    <t>Vòng quay V2 và bảng 3 thử nghiệm.</t>
  </si>
  <si>
    <t>Có giải thích “thay gì → khác gì”, không bắt học công thức.</t>
  </si>
  <si>
    <t>Chế tạo theo nhóm</t>
  </si>
  <si>
    <t>Cáp treo – Chuyến đi lên núi V1</t>
  </si>
  <si>
    <t>Lắp được cơ cấu kéo cabin nhẹ bằng motor có nút dừng.</t>
  </si>
  <si>
    <t>Truyền động dây; motor thuận/ngược; an toàn.</t>
  </si>
  <si>
    <t>GV chuẩn bị khung/dây; nhóm lắp cabin giấy, điều khiển motor nâng/hạ ngắn và dừng ở ga.</t>
  </si>
  <si>
    <t>Đổi chiều để cabin về ga, so hành trình hai hướng.</t>
  </si>
  <si>
    <t>Cáp treo mini V1.</t>
  </si>
  <si>
    <t>Cabin không rơi khỏi dây; mỗi trẻ có một lượt điều khiển Stop.</t>
  </si>
  <si>
    <t>Thử tải có kiểm soát</t>
  </si>
  <si>
    <t>Cáp treo V2 – Cabin chở hàng</t>
  </si>
  <si>
    <t>Điều chỉnh tải và độ căng dây để cabin đi ổn định hơn.</t>
  </si>
  <si>
    <t>Tải nhẹ; lực kéo; ma sát; thử lần lượt.</t>
  </si>
  <si>
    <t>Cho cabin chở 1/2/3 khối xốp rất nhẹ; thử cùng quãng đường, đánh dấu điểm dừng.</t>
  </si>
  <si>
    <t>Thay vị trí treo cabin hoặc độ căng dây theo GV hướng dẫn; so hai lần.</t>
  </si>
  <si>
    <t>Cáp treo V2 + nhật ký 3 thử.</t>
  </si>
  <si>
    <t>Giải thích ít nhất một lý do cabin đi lệch; tuân thủ giới hạn tải.</t>
  </si>
  <si>
    <t>Chế tạo sáng tạo</t>
  </si>
  <si>
    <t>Máy phóng bông mềm V1</t>
  </si>
  <si>
    <t>Chế tạo cơ cấu phóng vật nhẹ và dự đoán đường đi khi thay góc servo.</t>
  </si>
  <si>
    <t>Đòn bẩy; servo góc; chuyển động.</t>
  </si>
  <si>
    <t>Lắp cơ cấu máy phóng bông mềm đã chuẩn hóa; thử góc thấp/trung bình, đo vùng rơi.</t>
  </si>
  <si>
    <t>Nhóm chọn một đích an toàn bằng giấy, làm sao vật rơi gần đích hơn.</t>
  </si>
  <si>
    <t>Máy phóng bông mềm V1.</t>
  </si>
  <si>
    <t>Nêu được góc nào đã thử và vùng rơi thay đổi.</t>
  </si>
  <si>
    <t>Khoanh vùng cơ cấu đang quay; dừng motor trước khi chạm hoặc đổi chi tiết. Vật phóng bằng bông/xốp, không nhắm vào người.</t>
  </si>
  <si>
    <t>Thí nghiệm công bằng</t>
  </si>
  <si>
    <t>Máy phóng V2 – Đâu là góc phù hợp?</t>
  </si>
  <si>
    <t>Thử lần lượt 2–3 góc với cùng vật để chọn cách đạt đích.</t>
  </si>
  <si>
    <t>Chỉ đổi 1 yếu tố; quan sát; đo bằng ô/vạch.</t>
  </si>
  <si>
    <t>Giữ cùng bông và vị trí; thử 3 góc, đánh dấu điểm chạm bằng sticker.</t>
  </si>
  <si>
    <t>Chọn góc để bắn trúng vòng đích thay vì chỉ xa nhất.</t>
  </si>
  <si>
    <t>Máy phóng V2 trúng vùng đích.</t>
  </si>
  <si>
    <t>Có bảng 3 lần thử và lý do chọn góc, không bắt tính trung bình.</t>
  </si>
  <si>
    <t>Robot cào cào – Vật biết nhảy</t>
  </si>
  <si>
    <t>Lắp mô hình chuyển động đơn giản và quan sát chân chạm sàn.</t>
  </si>
  <si>
    <t>Ma sát; tiếp xúc; cân bằng; motor.</t>
  </si>
  <si>
    <t>Lắp robot cào cào theo kit, thử quãng 50 cm trên thảm thử có biên.</t>
  </si>
  <si>
    <t>Vẽ dấu chân và nêu bộ phận nào đẩy robot đi.</t>
  </si>
  <si>
    <t>Robot cào cào V1.</t>
  </si>
  <si>
    <t>Robot di chuyển được an toàn và trẻ chỉ ra phần tạo lực đẩy.</t>
  </si>
  <si>
    <t>Cuộc đua thử nghiệm</t>
  </si>
  <si>
    <t>Cào cào V2 – Nhanh nhưng vững</t>
  </si>
  <si>
    <t>Thay đổi một chi tiết để robot cào cào chạy xa/ổn định hơn.</t>
  </si>
  <si>
    <t>Đổi một biến; thử 3 lần; so sánh.</t>
  </si>
  <si>
    <t>Thử robot V1 ba lượt; sửa hướng chân hoặc điểm tỳ được GV duyệt; thử lại cùng đường.</t>
  </si>
  <si>
    <t>Thi vui “đi thẳng” hoặc “đi đều”, không chỉ chạy nhanh nhất.</t>
  </si>
  <si>
    <t>Robot cào cào V2 + bảng trước–sau.</t>
  </si>
  <si>
    <t>Giải thích phần đã sửa và so được hai phiên bản.</t>
  </si>
  <si>
    <t>Học từ thiên nhiên</t>
  </si>
  <si>
    <t>Robot sâu đo – Chuyển động theo nhịp</t>
  </si>
  <si>
    <t>Quan sát chu kỳ co–duỗi và điều khiển mô hình bắt chước sinh vật.</t>
  </si>
  <si>
    <t>Cơ cấu liên kết; nhịp; mẫu lặp chuyển động.</t>
  </si>
  <si>
    <t>GV chuẩn bị phần khung phức tạp nếu cần; trẻ hoàn thiện một cơ cấu co–duỗi và cho chạy chu kỳ ngắn.</t>
  </si>
  <si>
    <t>Thử nhịp chậm/nhanh, giải thích khi nào robot di chuyển ổn.</t>
  </si>
  <si>
    <t>Robot sâu đo mô phỏng chu kỳ.</t>
  </si>
  <si>
    <t>Chỉ ra ít nhất một điểm giống giữa sinh vật và mô hình.</t>
  </si>
  <si>
    <t>Chế tạo từ cơ thể người</t>
  </si>
  <si>
    <t>Bàn tay robot cử động</t>
  </si>
  <si>
    <t>Nhận biết ngón tay gập tại khớp và chế tạo tay giấy cử động bằng kéo dây/servo.</t>
  </si>
  <si>
    <t>Khớp; dây truyền chuyển động; servo.</t>
  </si>
  <si>
    <t>Làm mẫu ngón tay giấy trước; ghép 1–2 ngón với dây/servo có giới hạn góc.</t>
  </si>
  <si>
    <t>Thử thay chiều dài dây để ngón gập hơn nhưng không kẹt.</t>
  </si>
  <si>
    <t>Bàn tay mô phỏng 1–2 ngón.</t>
  </si>
  <si>
    <t>Trẻ nêu được bộ phận nào kéo và bộ phận nào di chuyển.</t>
  </si>
  <si>
    <t>Ứng dụng cơ cấu</t>
  </si>
  <si>
    <t>Bàn tay giữ đồ vật nhẹ</t>
  </si>
  <si>
    <t>Cải tiến bàn tay robot để giữ được một vật mà không làm kẹt cơ cấu.</t>
  </si>
  <si>
    <t>Lực giữ; vị trí; thử và thay đổi.</t>
  </si>
  <si>
    <t>Cho bàn tay giữ bóng xốp/hộp giấy; thử 2 kích thước vật, thay góc hoặc lớp đệm.</t>
  </si>
  <si>
    <t>So vật giữ được trước–sau và giải thích vì sao.</t>
  </si>
  <si>
    <t>Bàn tay cơ khí V2.</t>
  </si>
  <si>
    <t>Giữ được một vật nhẹ 3 giây không cần hỗ trợ.</t>
  </si>
  <si>
    <t>Thí nghiệm có giám sát</t>
  </si>
  <si>
    <t>Thuyền điện trên hồ mini</t>
  </si>
  <si>
    <t>Quan sát động cơ tạo lực đẩy và thử độ cân bằng bằng mô hình chống nước.</t>
  </si>
  <si>
    <t>Lực đẩy; nổi/chìm; phân bố tải.</t>
  </si>
  <si>
    <t>GV chuẩn bị thuyền/motor với khoang điện được cô lập; trẻ đặt vật nhẹ, dự đoán và thử dưới giám sát.</t>
  </si>
  <si>
    <t>Đổi vị trí tải để thuyền đi thẳng hơn; đo bằng vạch trên khay.</t>
  </si>
  <si>
    <t>Thuyền điện mô hình thử trên khay có bảo vệ.</t>
  </si>
  <si>
    <t>Trẻ mô tả được một cách giữ thuyền cân bằng.</t>
  </si>
  <si>
    <t>Khoanh vùng cơ cấu đang quay; dừng motor trước khi chạm hoặc đổi chi tiết. Giáo viên chuẩn bị mô hình cách nước; không để mạch học sinh chạm nước.</t>
  </si>
  <si>
    <t>Sáng chế cơ khí</t>
  </si>
  <si>
    <t>Thiết kế máy có ích V1→V2</t>
  </si>
  <si>
    <t>Tự chọn một cơ cấu đã học, thay đổi cấu trúc theo nhiệm vụ thực tế.</t>
  </si>
  <si>
    <t>Chọn cơ cấu; tiêu chí; thử rồi sửa.</t>
  </si>
  <si>
    <t>Nhóm chọn nhiệm vụ, làm bản phác và dùng linh kiện để lắp V1; chạy 2 lần và ghi lỗi.</t>
  </si>
  <si>
    <t>Đổi một chi tiết để V2 thực hiện ổn định hơn.</t>
  </si>
  <si>
    <t>Máy cơ khí V2 cho nhiệm vụ tự chọn.</t>
  </si>
  <si>
    <t>Chỉ ra phần thay đổi và bằng chứng sản phẩm làm tốt hơn.</t>
  </si>
  <si>
    <t>Ngày hội kỹ sư</t>
  </si>
  <si>
    <t>Engineering Games – Giải thích bằng mẫu thật</t>
  </si>
  <si>
    <t>Giới thiệu sản phẩm chuyển động và giải thích nguyên nhân một lần cải tiến.</t>
  </si>
  <si>
    <t>Khai thác lực, ma sát, góc, motor/servo bằng trải nghiệm.</t>
  </si>
  <si>
    <t>Các nhóm trình bày máy V2 tại khu an toàn; cho khách thử dưới giám sát, nêu quy tắc sử dụng.</t>
  </si>
  <si>
    <t>Nếu máy hoạt động khác do thay vật/tải, trẻ đề xuất hướng sửa.</t>
  </si>
  <si>
    <t>Engineering Games: máy chuyển động an toàn.</t>
  </si>
  <si>
    <t>Mỗi bé chỉ được cơ cấu, mô tả lỗi và cách nhóm khắc phục.</t>
  </si>
  <si>
    <t>Lắp và thử</t>
  </si>
  <si>
    <t>Người bạn robot có hai bánh</t>
  </si>
  <si>
    <t>Lắp chắc chassis và gọi tên phần tạo chuyển động, cảm nhận và điều khiển.</t>
  </si>
  <si>
    <t>Bộ điều khiển; khung; motor trái/phải; Stop.</t>
  </si>
  <si>
    <t>Nhóm lắp khung xe hai bánh và kiểm tra motor quay tự do; chạy tốc độ thấp mỗi bánh độc lập.</t>
  </si>
  <si>
    <t>Mời bạn kiểm tra “thiếu gì để an toàn khi chạy?”.</t>
  </si>
  <si>
    <t>Chassis robot hai bánh an toàn.</t>
  </si>
  <si>
    <t>Kể được 3 khối trên robot và dừng motor trước khi nhấc lên.</t>
  </si>
  <si>
    <t>Giới hạn tốc độ; để nút Stop dễ truy cập; robot chạy trong vùng có biên.</t>
  </si>
  <si>
    <t>Trò chơi phương hướng</t>
  </si>
  <si>
    <t>Hai bánh cùng làm việc</t>
  </si>
  <si>
    <t>Cho robot tiến/lùi/quay bằng điều khiển hai motor và dự đoán đường đi.</t>
  </si>
  <si>
    <t>Hai motor; chiều quay; quay tại chỗ.</t>
  </si>
  <si>
    <t>Tạo 4 thẻ hành động và code 4 lệnh thử trên nền phẳng theo tốc độ an toàn.</t>
  </si>
  <si>
    <t>Bạn đọc lệnh bí mật, nhóm chạy robot đến hướng mong muốn.</t>
  </si>
  <si>
    <t>Robot tiến, lùi và quay trên thảm.</t>
  </si>
  <si>
    <t>Trẻ nói được điều khiển hai motor để rẽ như thế nào.</t>
  </si>
  <si>
    <t>Khám phá qua lỗi</t>
  </si>
  <si>
    <t>Vì sao robot chạy lệch?</t>
  </si>
  <si>
    <t>Phát hiện robot lệch khi chạy thẳng và tinh chỉnh tốc độ từng bánh.</t>
  </si>
  <si>
    <t>Hiệu chỉnh; so sánh quãng đường; sửa một tham số.</t>
  </si>
  <si>
    <t>Kẻ vạch đích; chạy 3 lượt cùng thời gian, đánh dấu lệch; thử chỉnh một motor.</t>
  </si>
  <si>
    <t>Nhóm thử “mắt nhắm đoán” robot sẽ lệch bên nào trước khi chạy.</t>
  </si>
  <si>
    <t>Robot chạy thẳng V2 và vạch trước–sau.</t>
  </si>
  <si>
    <t>Có ít nhất một thay đổi khiến sai lệch nhỏ hơn.</t>
  </si>
  <si>
    <t>Vận dụng quãng đường</t>
  </si>
  <si>
    <t>Giao hàng đúng bến</t>
  </si>
  <si>
    <t>Điều khiển robot đến trạm nhận hàng, dừng và quay đầu an toàn.</t>
  </si>
  <si>
    <t>Trình tự; thời gian; điều khiển motor.</t>
  </si>
  <si>
    <t>Dùng 3 ô mốc trên thảm; lập chuỗi tiến→dừng→quay; đo quãng dừng.</t>
  </si>
  <si>
    <t>Thêm một góc cua; nhóm tìm cách chạy ổn định khi chở hộp xốp.</t>
  </si>
  <si>
    <t>Robot giao hàng tuyến ngắn.</t>
  </si>
  <si>
    <t>Robot dừng đúng trạm với sai số ô quy định.</t>
  </si>
  <si>
    <t>Điều khiển tương tác</t>
  </si>
  <si>
    <t>Tay cầm robot – Người lái nhí</t>
  </si>
  <si>
    <t>Gắn nút/gamepad trong App với từng chuyển động và thao tác dừng khẩn.</t>
  </si>
  <si>
    <t>Sự kiện; lệnh điều khiển từ xa; Stop.</t>
  </si>
  <si>
    <t>GV cấu hình kết nối phù hợp thiết bị; trẻ map 4 hướng, thử đường rộng có biên.</t>
  </si>
  <si>
    <t>Đổi vai tài xế–giám sát an toàn, thêm quy tắc giảm tốc ở góc cua.</t>
  </si>
  <si>
    <t>Robot điều khiển từ xa cơ bản.</t>
  </si>
  <si>
    <t>Trẻ tự xác nhận kết nối và dùng Stop trong tình huống bất ngờ.</t>
  </si>
  <si>
    <t>Trò chơi nhóm</t>
  </si>
  <si>
    <t>Cuộc đua giao hàng an toàn</t>
  </si>
  <si>
    <t>Giữ thăng bằng tải và chọn tốc độ hợp lý để giao hàng không rơi.</t>
  </si>
  <si>
    <t>Tải trọng; cân bằng; điều khiển.</t>
  </si>
  <si>
    <t>Làm khay hàng xốp nhẹ, thử tuyến có 2 cua với một hộp; đổi vị trí tải và thử lại.</t>
  </si>
  <si>
    <t>Người quan sát đánh dấu lúc hàng nghiêng; nhóm chỉnh trọng tâm chứ không chỉ tăng tốc.</t>
  </si>
  <si>
    <t>Robot vận chuyển V2 + bảng 3 lượt.</t>
  </si>
  <si>
    <t>Giao hàng đến đích ít nhất 2/3 lượt mà không đổ.</t>
  </si>
  <si>
    <t>Gắn giác quan quen thuộc</t>
  </si>
  <si>
    <t>Robot biết phát hiện chướng ngại</t>
  </si>
  <si>
    <t>Dùng lại siêu âm đã học để hiện khoảng cách trên robot trước khi điều khiển tự động.</t>
  </si>
  <si>
    <t>Cảm biến siêu âm; hướng sensor; khoảng cách.</t>
  </si>
  <si>
    <t>Gắn sensor cố định; dùng chương trình K2 hiển thị gần/xa và đưa vật ra trước robot.</t>
  </si>
  <si>
    <t>Thử đặt vật thấp/cao, nêu góc robot nhìn “khó thấy”.</t>
  </si>
  <si>
    <t>Robot đọc cảm biến vật cản.</t>
  </si>
  <si>
    <t>Tự đặt mục tiêu phát hiện và chỉ ra điểm đặt sensor ảnh hưởng kết quả.</t>
  </si>
  <si>
    <t>Robot tự quyết định</t>
  </si>
  <si>
    <t>Robot né vật cản V1</t>
  </si>
  <si>
    <t>Tạo quy tắc nếu vật gần thì dừng/rẽ, nếu xa thì đi tiếp.</t>
  </si>
  <si>
    <t>If/Else; lặp; Input→Motor.</t>
  </si>
  <si>
    <t>Trẻ sửa từ chương trình đi thẳng: thêm điều kiện khoảng cách và lệnh dừng/rẽ, chạy ở tốc độ thấp.</t>
  </si>
  <si>
    <t>Thử hai vị trí vật cản; điều chỉnh vạch từ bảng khoảng cách thực.</t>
  </si>
  <si>
    <t>Robot né vật V1.</t>
  </si>
  <si>
    <t>Dừng hoặc rẽ trước vật ở 2/3 lần thử.</t>
  </si>
  <si>
    <t>Xưởng sửa lỗi</t>
  </si>
  <si>
    <t>Robot né vật V2 – Thoát khỏi góc</t>
  </si>
  <si>
    <t>Thử trong đường cụt để phát hiện thuật toán thiếu tình huống và cải tiến.</t>
  </si>
  <si>
    <t>Chiến lược rẽ; kiểm tra tình huống mới.</t>
  </si>
  <si>
    <t>Dùng hộp mút dựng hành lang; quan sát trường hợp kẹt rồi chỉnh thời gian/quy tắc rẽ hoặc lùi ngắn.</t>
  </si>
  <si>
    <t>Chọn 1 trong 2 phương án cải tiến, so lượt thoát trước–sau.</t>
  </si>
  <si>
    <t>Robot né vật V2 đã qua hai sa bàn.</t>
  </si>
  <si>
    <t>Nói được vì sao cách cũ thất bại và cách mới hoạt động.</t>
  </si>
  <si>
    <t>Đội xe cứu trợ – Phối hợp người và máy</t>
  </si>
  <si>
    <t>Chọn khi nào điều khiển tay, khi nào tự động để hoàn thành tuyến an toàn.</t>
  </si>
  <si>
    <t>Remote; tự động; dừng; giao hàng.</t>
  </si>
  <si>
    <t>Thiết lập tuyến hai khu: người lái đoạn đầu, robot tự né vật đoạn sau; thay phiên từng vai.</t>
  </si>
  <si>
    <t>Nhóm khác đổi chướng ngại, nhóm sửa một phần điều khiển và kiểm tra lại.</t>
  </si>
  <si>
    <t>Robot cứu trợ thử nghiệm hai chế độ.</t>
  </si>
  <si>
    <t>Mỗi trẻ điều khiển một đoạn và giải thích lựa chọn chế độ.</t>
  </si>
  <si>
    <t>Chế tạo cơ cấu</t>
  </si>
  <si>
    <t>Bàn kẹp robot – Gắp mà không bóp mạnh</t>
  </si>
  <si>
    <t>Lắp cơ cấu kẹp servo để giữ bóng/hộp nhẹ an toàn.</t>
  </si>
  <si>
    <t>Servo; góc mở–đóng; cơ cấu kẹp.</t>
  </si>
  <si>
    <t>GV chuẩn bị phần khung kẹp phức tạp; nhóm gắn servo, giới hạn góc, gắp bóng xốp.</t>
  </si>
  <si>
    <t>Thử 2 kích thước vật, điều chỉnh góc để không làm rơi/vướng.</t>
  </si>
  <si>
    <t>Gripper gắp được vật nhẹ.</t>
  </si>
  <si>
    <t>Từng trẻ vận hành mở–kẹp–nhả bằng lệnh.</t>
  </si>
  <si>
    <t>Thực hành ghép cơ cấu</t>
  </si>
  <si>
    <t>Robot nhặt vật V1</t>
  </si>
  <si>
    <t>Ghép robot di chuyển và cơ cấu kẹp thành một chuỗi tác vụ.</t>
  </si>
  <si>
    <t>Trình tự; motor + servo; dừng trước gắp.</t>
  </si>
  <si>
    <t>Thử tuyến ngắn: di chuyển chậm→dừng→đóng gripper→lùi; không thêm sensor nếu không cần.</t>
  </si>
  <si>
    <t>Thay vật mới nhẹ hơn/nặng hơn để tìm góc kẹp tốt.</t>
  </si>
  <si>
    <t>Robot nhặt vật V1.</t>
  </si>
  <si>
    <t>Thực hiện đúng thứ tự 2/3 lượt, không ép servo quá góc.</t>
  </si>
  <si>
    <t>Thử thách nhiều bước</t>
  </si>
  <si>
    <t>Robot chuyển hàng qua 2 trạm</t>
  </si>
  <si>
    <t>Lập kế hoạch chuyển một vật đến vị trí khác và sửa khi không đến đúng bến.</t>
  </si>
  <si>
    <t>Tuyến; mốc dừng; phối hợp cơ cấu.</t>
  </si>
  <si>
    <t>Vẽ tuyến 3 bước, thử có/không cầm hàng; chọn chỗ dừng an toàn và kiểm tra.</t>
  </si>
  <si>
    <t>Thêm một khúc cua, sửa đoạn riêng đang gây lỗi.</t>
  </si>
  <si>
    <t>Robot vận chuyển hai trạm.</t>
  </si>
  <si>
    <t>Thử 3 lượt; biết gọi tên một lỗi điều khiển và cách sửa.</t>
  </si>
  <si>
    <t>Xưởng nhiệm vụ</t>
  </si>
  <si>
    <t>Lập đội robot cứu hộ</t>
  </si>
  <si>
    <t>Chọn một nhiệm vụ có ít nhất hai kỹ năng và tự xây chương trình/mô hình V1.</t>
  </si>
  <si>
    <t>Chia nhiệm vụ; ngưỡng; chuyển động; gripper.</t>
  </si>
  <si>
    <t>Nhóm chọn phương án tuyến, sensor và có/không tay kẹp; mô tả lộ trình với thẻ, chạy một phiên bản ngắn.</t>
  </si>
  <si>
    <t>GV đặt lỗi hoặc thêm vật cản; nhóm chỉnh lại một đoạn.</t>
  </si>
  <si>
    <t>Robot cứu hộ V1 + phác thảo nhiệm vụ.</t>
  </si>
  <si>
    <t>Có sơ đồ nhiệm vụ, 2 lần test và V1 có tiến triển.</t>
  </si>
  <si>
    <t>Tinh chỉnh dự án</t>
  </si>
  <si>
    <t>Robot cứu hộ V2 – Test người dùng</t>
  </si>
  <si>
    <t>Tăng độ ổn định theo phản hồi từ nhóm thử nghiệm khác.</t>
  </si>
  <si>
    <t>Thử lại; chỉnh một tham số; độ tin cậy.</t>
  </si>
  <si>
    <t>Nhóm khác dùng test card 3 tình huống; đội xây sửa một chỗ, kiểm thử lại đủ 3.</t>
  </si>
  <si>
    <t>Tối ưu tốc độ hoặc chỗ đặt sensor nhưng giữ độ an toàn.</t>
  </si>
  <si>
    <t>Robot cứu hộ V2 + phiếu test.</t>
  </si>
  <si>
    <t>Số lần hoàn thành sau sửa lớn hơn trước hoặc trẻ giải thích giới hạn.</t>
  </si>
  <si>
    <t>Ngày hội robotics</t>
  </si>
  <si>
    <t>Robot Olympics – Hoàn thành nhiệm vụ</t>
  </si>
  <si>
    <t>Tự vận hành và giải thích thuật toán hoặc cơ cấu của robot với khách thử.</t>
  </si>
  <si>
    <t>Vận hành; tự sửa lỗi; trình bày.</t>
  </si>
  <si>
    <t>Chạy trạm di chuyển, né vật và gắp/chở, mỗi thành viên vận hành một phần.</t>
  </si>
  <si>
    <t>Tự nhận xét một hạn chế và đề xuất nâng cấp K6.</t>
  </si>
  <si>
    <t>Robot Olympics và nhật ký thay đổi V1→V2.</t>
  </si>
  <si>
    <t>Có ít nhất 2/3 trạm hoạt động và từng trẻ giải thích một quy tắc.</t>
  </si>
  <si>
    <t>Sáng chế nhanh</t>
  </si>
  <si>
    <t>Chọn một rắc rối trong lớp</t>
  </si>
  <si>
    <t>Tìm một vấn đề cụ thể và làm bản demo đơn giản ngay trong buổi.</t>
  </si>
  <si>
    <t>Nhu cầu người dùng; dùng kit đã biết.</t>
  </si>
  <si>
    <t>Nhóm chọn báo hoàn thành/báo gần/công tắc đèn; lắp prototype đơn giản 20 phút trước khi viết ý tưởng.</t>
  </si>
  <si>
    <t>Đổi người dùng, quan sát họ thao tác rồi sửa một chi tiết.</t>
  </si>
  <si>
    <t>Prototype “giải quyết rắc rối” + ảnh trước–sau.</t>
  </si>
  <si>
    <t>Trẻ mô tả rõ ai cần sản phẩm và sản phẩm giúp việc gì.</t>
  </si>
  <si>
    <t>Giáo viên duyệt nguồn, dây, module và cách test trước khi nhóm dùng thiết bị.</t>
  </si>
  <si>
    <t>Một vấn đề – nhiều cách</t>
  </si>
  <si>
    <t>Cùng giải cứu cây ở lớp</t>
  </si>
  <si>
    <t>So hai giải pháp dùng cảm biến hoặc nhắc bằng nút, giải thích lựa chọn.</t>
  </si>
  <si>
    <t>Lựa chọn Input/Output; trade-off trực quan.</t>
  </si>
  <si>
    <t>Đội thử hai ý: nhắc bằng đèn/nút và báo đất khô bằng sensor; so 3 tình huống.</t>
  </si>
  <si>
    <t>Cho bạn thử, chọn giải pháp vừa đủ, không nhất thiết nhiều module.</t>
  </si>
  <si>
    <t>Hai mini-prototype cho một vấn đề.</t>
  </si>
  <si>
    <t>Nêu được một điểm mạnh/yếu của phương án đã chọn.</t>
  </si>
  <si>
    <t>Chia nhỏ bằng hành động</t>
  </si>
  <si>
    <t>Giải cứu robot “không nghe lời”</t>
  </si>
  <si>
    <t>Chia vấn đề robot hỏng thành phần nhỏ và thử lại từng phần.</t>
  </si>
  <si>
    <t>Input–Process–Output; thử từng khối.</t>
  </si>
  <si>
    <t>GV chuẩn bị 3 hộp thiết bị có một lỗi đơn giản; nhóm kiểm tra đầu vào, lệnh, đầu ra theo bảng hình.</t>
  </si>
  <si>
    <t>Nhóm sửa và giải thích cho nhóm khác; đề xuất cách kiểm tra nhanh hơn.</t>
  </si>
  <si>
    <t>Phiếu “bác sĩ sản phẩm” và thiết bị chạy lại.</t>
  </si>
  <si>
    <t>Trẻ cô lập được nguyên nhân ít nhất một lỗi trước khi đổi dây/code.</t>
  </si>
  <si>
    <t>Người dùng quyết định</t>
  </si>
  <si>
    <t>Thiết bị phải dễ sử dụng</t>
  </si>
  <si>
    <t>Thử sản phẩm của nhau và cải thiện dấu hiệu hướng dẫn người dùng.</t>
  </si>
  <si>
    <t>Phản hồi; quan sát người dùng; giao diện.</t>
  </si>
  <si>
    <t>Trao sản phẩm B1/B2; người dùng thử mà không nhận hướng dẫn; đội ghi lại một khó khăn.</t>
  </si>
  <si>
    <t>Thêm biểu tượng, âm báo hoặc đổi màu rồi thử với người mới.</t>
  </si>
  <si>
    <t>Mini prototype dễ dùng V2.</t>
  </si>
  <si>
    <t>Từng trẻ nêu được điều quan sát, không chỉ nói “bạn thích”.</t>
  </si>
  <si>
    <t>Trò chơi năng lực</t>
  </si>
  <si>
    <t>Hộp thử thách bất ngờ</t>
  </si>
  <si>
    <t>Giải quyết một tình huống mới bằng kỹ năng sensor, đèn, motor đã biết.</t>
  </si>
  <si>
    <t>Ôn kiến thức thật qua 3 trạm.</t>
  </si>
  <si>
    <t>3 trạm chọn 2: đèn theo nút; cảm biến báo gần; motor dừng theo thời gian; bé tự điều chỉnh 1 lệnh.</t>
  </si>
  <si>
    <t>Nhận thêm yêu cầu phụ, giải thích vì sao chọn cách sửa.</t>
  </si>
  <si>
    <t>Hai nhiệm vụ thực hành và phiếu năng lực.</t>
  </si>
  <si>
    <t>Bé tự làm một thao tác với tối đa 1 gợi ý; ghi điểm cần luyện.</t>
  </si>
  <si>
    <t>Chọn vấn đề thật</t>
  </si>
  <si>
    <t>Cùng chọn dự án cuối khóa</t>
  </si>
  <si>
    <t>Chọn vấn đề phù hợp nguồn lực và tạo mô hình cực nhỏ trước khi cam kết ý tưởng.</t>
  </si>
  <si>
    <t>Phạm vi; tiêu chí dùng được; bản mẫu nhỏ.</t>
  </si>
  <si>
    <t>Nhóm thảo luận và chọn một trong 3 nhóm: lớp học, nhà/vườn, vận chuyển; thử module khó nhất trước.</t>
  </si>
  <si>
    <t>Giảm bớt chức năng không cần thiết; chốt 2 việc sản phẩm phải làm.</t>
  </si>
  <si>
    <t>Phiếu dự án 1 trang + mini prototype.</t>
  </si>
  <si>
    <t>Ý tưởng khả thi với bộ kit sẵn có và thử được 1 chức năng trong buổi.</t>
  </si>
  <si>
    <t>Từ bản mẫu nhỏ đến bản vẽ</t>
  </si>
  <si>
    <t>Vẽ sơ đồ đơn giản dựa trên mô hình đã chạy và lên danh sách phần còn thiếu.</t>
  </si>
  <si>
    <t>Sơ đồ khối; phân chia chức năng theo trải nghiệm.</t>
  </si>
  <si>
    <t>Nhóm dán thẻ sensor/controller/output lên bảng và nối mũi tên từ mô hình; tiếp tục chạy một khối.</t>
  </si>
  <si>
    <t>Nhóm khác nhìn sơ đồ đoán tác dụng; sửa mũi tên/thẻ gây hiểu nhầm.</t>
  </si>
  <si>
    <t>Sơ đồ 3–5 khối + module thử thành công.</t>
  </si>
  <si>
    <t>Mỗi trẻ nói được luồng từ Input đến Output của dự án.</t>
  </si>
  <si>
    <t>Trạm Maker</t>
  </si>
  <si>
    <t>Prototype V1 – Làm bản đầu tiên</t>
  </si>
  <si>
    <t>Kết nối hai chức năng nhỏ thành một prototype có người dùng thử.</t>
  </si>
  <si>
    <t>Build–Code–Test; chia vai.</t>
  </si>
  <si>
    <t>Đội hoàn thiện một luồng hoạt động chính; GV kiểm tra dây; nhóm khác thử.</t>
  </si>
  <si>
    <t>Đặt thêm tình huống làm V1 chưa chạy tốt, xác định điều cần sửa.</t>
  </si>
  <si>
    <t>Prototype V1 giữa khóa.</t>
  </si>
  <si>
    <t>Sản phẩm làm được ít nhất một nhiệm vụ; nhóm ghi một lỗi thật.</t>
  </si>
  <si>
    <t>Thí nghiệm để hiểu</t>
  </si>
  <si>
    <t>Máy làm đúng bao nhiêu lần?</t>
  </si>
  <si>
    <t>Thử sản phẩm nhiều lần và nhận ra điều kiện khiến kết quả không ổn định.</t>
  </si>
  <si>
    <t>Độ ổn định; quan sát; đếm lần thành công.</t>
  </si>
  <si>
    <t>Lập bảng 5 ô tick; chạy thiết bị 5 lần giống nhau, tìm lần bị sai, kiểm tra có thay đổi gì.</t>
  </si>
  <si>
    <t>Thử một cách sửa nhỏ rồi chạy lại đủ 5 lần; nhìn tỷ lệ bằng sticker, không tính công thức.</t>
  </si>
  <si>
    <t>Bảng kiểm thử 5 lần + sản phẩm ổn định hơn.</t>
  </si>
  <si>
    <t>Nói được số lần thành công trước–sau và lý do sửa.</t>
  </si>
  <si>
    <t>Code dễ hiểu</t>
  </si>
  <si>
    <t>Dọn lại chương trình dài</t>
  </si>
  <si>
    <t>Rút gọn đoạn code lặp và đặt tên gợi nhớ để nhóm dễ sửa.</t>
  </si>
  <si>
    <t>Loop; biến; nhóm lệnh nếu môi trường hỗ trợ.</t>
  </si>
  <si>
    <t>Chụp màn hình code V1; đánh dấu đoạn lặp; rút ngắn bằng repeat hoặc đặt tên biến dễ hiểu.</t>
  </si>
  <si>
    <t>Cho bạn khác tìm khối để đổi thời gian/ngưỡng; sửa cấu trúc nếu khó tìm.</t>
  </si>
  <si>
    <t>Code V2 có chú giải 3 dòng.</t>
  </si>
  <si>
    <t>Cùng hành vi nhưng code dễ đọc hơn và không phát sinh lỗi mới.</t>
  </si>
  <si>
    <t>Chế tạo thông minh</t>
  </si>
  <si>
    <t>Đổi thiết kế để sản phẩm dễ dùng</t>
  </si>
  <si>
    <t>Thay đổi bố trí sensor/cơ cấu và kiểm tra tác động ngay trên prototype.</t>
  </si>
  <si>
    <t>Vị trí lắp; cân bằng; điều kiện dùng.</t>
  </si>
  <si>
    <t>Với dự án nhóm, chỉ thay một vị trí sensor/chi tiết cơ khí, thử lại chức năng chính.</t>
  </si>
  <si>
    <t>Nhóm khác quan sát, đề xuất một cải tiến đơn giản thay vì thêm linh kiện.</t>
  </si>
  <si>
    <t>Prototype cải thiện vị trí lắp.</t>
  </si>
  <si>
    <t>Có ảnh trước/sau và kết quả ít nhất 3 thử.</t>
  </si>
  <si>
    <t>Người dùng thật</t>
  </si>
  <si>
    <t>Khách hàng thử sản phẩm</t>
  </si>
  <si>
    <t>Lắng nghe người dùng thử và chuyển thành một thay đổi có thể kiểm tra.</t>
  </si>
  <si>
    <t>Quan sát; phản hồi; đề xuất sửa.</t>
  </si>
  <si>
    <t>Mỗi nhóm mời 2 bạn dùng sản phẩm theo thẻ nhiệm vụ; ghi họ có hoàn thành không, khó ở đâu.</t>
  </si>
  <si>
    <t>Chọn một vấn đề chung, làm V2 và cho bạn thứ ba dùng thử.</t>
  </si>
  <si>
    <t>Phiếu khách thử + V2 được chỉnh sửa.</t>
  </si>
  <si>
    <t>Nêu được phản hồi cụ thể và cách nhóm phản ứng với nó.</t>
  </si>
  <si>
    <t>Xưởng chế tạo</t>
  </si>
  <si>
    <t>Sản phẩm V2 cho nhiệm vụ chính</t>
  </si>
  <si>
    <t>Hoàn thành chức năng chính ổn định trước khi thêm trang trí/tính năng phụ.</t>
  </si>
  <si>
    <t>Thử theo tiêu chí; đảm bảo an toàn; tự chỉnh lỗi.</t>
  </si>
  <si>
    <t>Nhóm sửa các lỗi làm sản phẩm không đạt nhiệm vụ chính; chạy lại đủ 3 kịch bản yêu cầu.</t>
  </si>
  <si>
    <t>Nếu đạt sớm, thêm một tiện ích nhỏ có thể giải thích bằng kiến thức cũ.</t>
  </si>
  <si>
    <t>Sản phẩm V2 dùng được.</t>
  </si>
  <si>
    <t>Hoàn thành ít nhất 2/3 thử nghiệm, ghi rõ giới hạn còn lại.</t>
  </si>
  <si>
    <t>Trưng bày có bằng chứng</t>
  </si>
  <si>
    <t>Câu chuyện từ V1 đến V2</t>
  </si>
  <si>
    <t>Trình bày quá trình chọn vấn đề, làm V1, sửa lỗi và kết quả V2.</t>
  </si>
  <si>
    <t>Kể chuyện kỹ thuật; bằng chứng; giới hạn.</t>
  </si>
  <si>
    <t>Nhóm làm poster 4 ô “vấn đề–cách làm–lỗi–cải tiến”; thử trình bày 1 phút trước nhóm khác.</t>
  </si>
  <si>
    <t>Bạn nghe đặt câu hỏi “nếu đổi điều kiện thì sao?”, trẻ giải thích.</t>
  </si>
  <si>
    <t>Poster dự án + video thử thuyết trình.</t>
  </si>
  <si>
    <t>Có ít nhất 1 minh chứng thử trước–sau và ai cũng có câu nói riêng.</t>
  </si>
  <si>
    <t>Chuẩn bị ngày hội</t>
  </si>
  <si>
    <t>Luyện demo tình huống mới</t>
  </si>
  <si>
    <t>Tự kiểm tra kết nối, vận hành và giải quyết một tình huống khách thử không báo trước.</t>
  </si>
  <si>
    <t>Kiểm tra nguồn; stop; khôi phục lỗi.</t>
  </si>
  <si>
    <t>GV bốc một thẻ lỗi an toàn như quên bấm Run/sai ngưỡng; nhóm xử lý theo 3 bước đã học.</t>
  </si>
  <si>
    <t>Cho bạn khác vận hành bằng hướng dẫn 3 câu tự viết.</t>
  </si>
  <si>
    <t>Góc demo hoàn chỉnh, bảng 3 bước kiểm tra.</t>
  </si>
  <si>
    <t>Trẻ biết tìm nơi kiểm tra đầu tiên, không chạm dây khi còn điện.</t>
  </si>
  <si>
    <t>Maker Day thực tế</t>
  </si>
  <si>
    <t>Inventor Expo – Con là nhà sáng chế</t>
  </si>
  <si>
    <t>Tự giới thiệu sản phẩm hữu ích, vận hành và giải thích ít nhất một cải tiến.</t>
  </si>
  <si>
    <t>Kết nối toàn khóa; áp dụng kiến thức vào tình huống mới.</t>
  </si>
  <si>
    <t>Triển lãm sản phẩm theo chủ đề; từng trẻ thực hiện một thao tác và chia sẻ một lần thử chưa thành công.</t>
  </si>
  <si>
    <t>Đưa ra hướng nâng cấp khả thi, không nhất thiết thêm cảm biến mới.</t>
  </si>
  <si>
    <t>Inventor Expo + hồ sơ 1 trang.</t>
  </si>
  <si>
    <t>Có minh chứng sử dụng thật, V1/V2, lời giải thích của từng trẻ.</t>
  </si>
  <si>
    <t>K01  |  YOLO:BIT – NHÀ LẬP TRÌNH NHÍ  •  HỌC QUA LÀM THẬT</t>
  </si>
  <si>
    <t>Tiếp nối Rio • 7–9 tuổi • 16 buổi × 90 phút linh hoạt • Khái niệm xuất hiện ngay trong sản phẩm • Thử – sửa – làm lại</t>
  </si>
  <si>
    <t>Mục tiêu khóa</t>
  </si>
  <si>
    <t>Kiến thức chỉ giảng đúng lúc cần; mục tiêu: Kỹ năng code chỉ giới thiệu khi trẻ cần cho trò chơi thật; nút, đèn, âm thanh, lặp, biến, sửa lỗi gặp lại qua nhiều sản phẩm.</t>
  </si>
  <si>
    <t>Học cụ cốt lõi</t>
  </si>
  <si>
    <t>Yolo:Bit; mạch mở rộng; LED RGB; nút A/B; loa; App; khung trò luồn dây.</t>
  </si>
  <si>
    <t>An toàn chung</t>
  </si>
  <si>
    <t>Học cụ có điện áp thấp; giáo viên kiểm tra phần cứng trước giờ; nước/động cơ/cảm biến khí theo hướng dẫn an toàn riêng.</t>
  </si>
  <si>
    <t>Hình thức buổi</t>
  </si>
  <si>
    <t>Chủ đề / vấn đề gần gũi</t>
  </si>
  <si>
    <t>Trẻ làm được gì sau buổi?</t>
  </si>
  <si>
    <t>Kiến thức phát hiện trong khi làm</t>
  </si>
  <si>
    <t>Gợi nhớ + đặt vấn đề (ngắn)</t>
  </si>
  <si>
    <t>TRẢI NGHIỆM – BUILD – CODE (trọng tâm)</t>
  </si>
  <si>
    <t>Thử thách tự làm / cải tiến</t>
  </si>
  <si>
    <t>Học cụ</t>
  </si>
  <si>
    <t>Sản phẩm rõ ràng</t>
  </si>
  <si>
    <t>Quan sát / mini test tại lớp</t>
  </si>
  <si>
    <t>Minh chứng gửi phụ huynh</t>
  </si>
  <si>
    <t>An toàn / hỗ trợ</t>
  </si>
  <si>
    <t>GỢI NHỚ (2–4 phút): Rio nhận chuỗi lệnh di chuyển. CÂU HỎI: Nếu Rio nghe lệnh đi, Yolo:Bit có thể nghe lệnh gì?</t>
  </si>
  <si>
    <t>LÀM NGAY: Theo cặp ghép thẻ lệnh với hành động; kết nối App, chạy chương trình hiển thị hình mặt cười và thay hình khác.
GV chỉ giảng khái niệm sau khi trẻ quan sát và cần lời giải thích.</t>
  </si>
  <si>
    <t>TỰ THỬ: Tự đổi một khối để hiện trái tim; cho bạn đoán kết quả rồi mới chạy.</t>
  </si>
  <si>
    <t>Yolo:Bit; mạch mở rộng; LED RGB; nút A/B; loa; App; khung trò luồn dây.
Bổ sung: Yolo:Bit; thiết bị có App; thẻ lệnh.</t>
  </si>
  <si>
    <t>Ảnh/video: Yolo:Bit hiện 2 hình khác nhau theo lệnh.. Kèm câu trẻ tự trả lời: “Nếu Rio nghe lệnh đi, Yolo:Bit có thể nghe lệnh gì?”</t>
  </si>
  <si>
    <t>GỢI NHỚ (2–4 phút): Run/Stop; đổi một lệnh. CÂU HỎI: Làm sao chiếc đèn biết con đang vui hay cần giúp?</t>
  </si>
  <si>
    <t>LÀM NGAY: Cắm đúng LED theo sơ đồ kiểm tra; chạy đỏ, xanh, vàng; tạo 3 “tâm trạng” bằng màu.
GV chỉ giảng khái niệm sau khi trẻ quan sát và cần lời giải thích.</t>
  </si>
  <si>
    <t>TỰ THỬ: Thiết kế ngôn ngữ đèn riêng cho lớp; bạn khác đoán thông điệp.</t>
  </si>
  <si>
    <t>Yolo:Bit; mạch mở rộng; LED RGB; nút A/B; loa; App; khung trò luồn dây.
Bổ sung: LED RGB; thẻ màu.</t>
  </si>
  <si>
    <t>Ảnh/video: Đèn cảm xúc 3–4 trạng thái.. Kèm câu trẻ tự trả lời: “Làm sao chiếc đèn biết con đang vui hay cần giúp?”</t>
  </si>
  <si>
    <t>GỢI NHỚ (2–4 phút): LED màu của buổi 2. CÂU HỎI: Làm thế nào chọn được màu mà không sửa code mỗi lần?</t>
  </si>
  <si>
    <t>LÀM NGAY: Lập trình A→xanh và B→đỏ; kiểm tra mỗi nút 3 lần, đảo nhiệm vụ cho bạn.
GV chỉ giảng khái niệm sau khi trẻ quan sát và cần lời giải thích.</t>
  </si>
  <si>
    <t>TỰ THỬ: Thêm phản hồi khi bấm hai nút hoặc thêm tiếng chào.</t>
  </si>
  <si>
    <t>Yolo:Bit; mạch mở rộng; LED RGB; nút A/B; loa; App; khung trò luồn dây.
Bổ sung: Yolo:Bit; LED/loa.</t>
  </si>
  <si>
    <t>Ảnh/video: Bảng điều khiển bằng nút nhấn.. Kèm câu trẻ tự trả lời: “Làm thế nào chọn được màu mà không sửa code mỗi lần?”</t>
  </si>
  <si>
    <t>GỢI NHỚ (2–4 phút): Nút A/B và màu LED. CÂU HỎI: Làm sao cô biết nhóm đã xong hay đang cần hỗ trợ?</t>
  </si>
  <si>
    <t>LÀM NGAY: Nhóm đóng vai quầy “Đã xong/Cần trợ giúp”; tạo bảng màu và chương trình, đổi vai lập trình–người dùng.
GV chỉ giảng khái niệm sau khi trẻ quan sát và cần lời giải thích.</t>
  </si>
  <si>
    <t>TỰ THỬ: Nhóm bên cạnh đưa ra yêu cầu màu mới; sửa và giải thích lý do.</t>
  </si>
  <si>
    <t>Yolo:Bit; mạch mở rộng; LED RGB; nút A/B; loa; App; khung trò luồn dây.
Bổ sung: Thẻ tình huống lớp học; LED.</t>
  </si>
  <si>
    <t>Ảnh/video: Đèn hỗ trợ học tập dùng được.. Kèm câu trẻ tự trả lời: “Làm sao cô biết nhóm đã xong hay đang cần hỗ trợ?”</t>
  </si>
  <si>
    <t>GỢI NHỚ (2–4 phút): Nút A/B; điều khiển màu. CÂU HỎI: Vì sao đèn nhấp nháy quá nhanh khiến khán giả chưa kịp xem?</t>
  </si>
  <si>
    <t>LÀM NGAY: Tạo chuỗi 3 màu với thời gian chờ; vẽ 3 hình theo đúng trình tự rồi đối chiếu khi chạy.
GV chỉ giảng khái niệm sau khi trẻ quan sát và cần lời giải thích.</t>
  </si>
  <si>
    <t>TỰ THỬ: Cho đèn sáng theo nhịp vỗ tay nhanh/chậm; để bạn đoán thời gian chờ.</t>
  </si>
  <si>
    <t>Yolo:Bit; mạch mở rộng; LED RGB; nút A/B; loa; App; khung trò luồn dây.
Bổ sung: Thẻ nhịp; đồng hồ bấm giờ.</t>
  </si>
  <si>
    <t>Ảnh/video: Light show 10–20 giây.. Kèm câu trẻ tự trả lời: “Vì sao đèn nhấp nháy quá nhanh khiến khán giả chưa kịp xem?”</t>
  </si>
  <si>
    <t>GỢI NHỚ (2–4 phút): Trình tự; wait của buổi 5. CÂU HỎI: Cần nháy xanh–đỏ 6 lần, có phải kéo 12 khối không?</t>
  </si>
  <si>
    <t>LÀM NGAY: Dùng 2 khối màu + wait, lặp 3 lần; chạy phiên bản “viết dài” và phiên bản lặp để so.
GV chỉ giảng khái niệm sau khi trẻ quan sát và cần lời giải thích.</t>
  </si>
  <si>
    <t>TỰ THỬ: Ghép thêm âm báo sau mỗi chu kỳ; thử 2, 4 lần và dự đoán.</t>
  </si>
  <si>
    <t>Yolo:Bit; mạch mở rộng; LED RGB; nút A/B; loa; App; khung trò luồn dây.
Bổ sung: LED/loa; thẻ mẫu lặp.</t>
  </si>
  <si>
    <t>Ảnh/video: Vũ điệu LED ngắn có repeat.. Kèm câu trẻ tự trả lời: “Cần nháy xanh–đỏ 6 lần, có phải kéo 12 khối không?”</t>
  </si>
  <si>
    <t>GỢI NHỚ (2–4 phút): Màu, nút, thời gian, repeat. CÂU HỎI: Đèn báo “đã xong” lại sáng đỏ: máy hỏng hay chương trình sai?</t>
  </si>
  <si>
    <t>LÀM NGAY: GV cho 3 chương trình hỏng có chủ đích; trẻ quan sát, chọn 1 lỗi, sửa rồi thử.
GV chỉ giảng khái niệm sau khi trẻ quan sát và cần lời giải thích.</t>
  </si>
  <si>
    <t>TỰ THỬ: Đổi code của nhóm với nhóm khác để “khám bệnh”.</t>
  </si>
  <si>
    <t>Yolo:Bit; mạch mở rộng; LED RGB; nút A/B; loa; App; khung trò luồn dây.
Bổ sung: 3 chương trình sai có sẵn.</t>
  </si>
  <si>
    <t>Ảnh/video: Phiếu trước–sau khi sửa lỗi.. Kèm câu trẻ tự trả lời: “Đèn báo “đã xong” lại sáng đỏ: máy hỏng hay chương trình sai?”</t>
  </si>
  <si>
    <t>GỢI NHỚ (2–4 phút): B1–B7 qua trò gọi tên hành động. CÂU HỎI: Khi lớp im lặng và khi cần trợ giúp, đèn nên làm gì?</t>
  </si>
  <si>
    <t>LÀM NGAY: Nhóm tự chọn hai chế độ; vẽ màn hình/đèn; lập trình và để bạn khác thử không hướng dẫn.
GV chỉ giảng khái niệm sau khi trẻ quan sát và cần lời giải thích.</t>
  </si>
  <si>
    <t>TỰ THỬ: Thêm chế độ “tạm dừng” hoặc nhịp chậm hơn; sửa theo phản hồi.</t>
  </si>
  <si>
    <t>Yolo:Bit; mạch mở rộng; LED RGB; nút A/B; loa; App; khung trò luồn dây.
Bổ sung: Đèn RGB; nút; giấy storyboard.</t>
  </si>
  <si>
    <t>Ảnh/video: Đèn hỗ trợ lớp học V1 và bản ghi phản hồi.. Kèm câu trẻ tự trả lời: “Khi lớp im lặng và khi cần trợ giúp, đèn nên làm gì?”</t>
  </si>
  <si>
    <t>GỢI NHỚ (2–4 phút): Sự kiện A/B; đầu ra. CÂU HỎI: Điểm có biến mất sau mỗi lần bấm không? Máy nhớ bằng cách nào?</t>
  </si>
  <si>
    <t>LÀM NGAY: Lập trình A tăng 1 điểm và hiển thị số; thi nhóm đoán điểm sau 3 lần bấm.
GV chỉ giảng khái niệm sau khi trẻ quan sát và cần lời giải thích.</t>
  </si>
  <si>
    <t>TỰ THỬ: Thêm B để đặt lại 0 hoặc trừ 1; thử sai tình huống nhiều lần bấm.</t>
  </si>
  <si>
    <t>Yolo:Bit; mạch mở rộng; LED RGB; nút A/B; loa; App; khung trò luồn dây.
Bổ sung: Yolo:Bit; thẻ điểm.</t>
  </si>
  <si>
    <t>Ảnh/video: Bộ đếm điểm Yolo:Bit.. Kèm câu trẻ tự trả lời: “Điểm có biến mất sau mỗi lần bấm không? Máy nhớ bằng cách nào?”</t>
  </si>
  <si>
    <t>GỢI NHỚ (2–4 phút): Biến điểm và nút bấm. CÂU HỎI: Nếu ai cũng bấm một nút mà ra cùng số thì còn vui không?</t>
  </si>
  <si>
    <t>LÀM NGAY: Bấm A cho số ngẫu nhiên 1–6; chơi xúc xắc cộng điểm trong nhóm 3 lượt.
GV chỉ giảng khái niệm sau khi trẻ quan sát và cần lời giải thích.</t>
  </si>
  <si>
    <t>TỰ THỬ: Tự thiết kế một trò chơi có luật thắng/thua đơn giản.</t>
  </si>
  <si>
    <t>Yolo:Bit; mạch mở rộng; LED RGB; nút A/B; loa; App; khung trò luồn dây.
Bổ sung: Thẻ số 1–6.</t>
  </si>
  <si>
    <t>Ảnh/video: Xúc xắc số và luật chơi nhóm.. Kèm câu trẻ tự trả lời: “Nếu ai cũng bấm một nút mà ra cùng số thì còn vui không?”</t>
  </si>
  <si>
    <t>GỢI NHỚ (2–4 phút): Nút nhấn là Input; đèn báo. CÂU HỎI: Vì sao chạm vào dây lại khiến còi kêu?</t>
  </si>
  <si>
    <t>LÀM NGAY: Giáo viên dựng khung trò luồn dây điện áp thấp; trẻ thử đường mạch đóng/mở và gán LED/loa.
GV chỉ giảng khái niệm sau khi trẻ quan sát và cần lời giải thích.</t>
  </si>
  <si>
    <t>TỰ THỬ: Thiết kế thử thách luồn dây cho bạn, cải tiến để không báo nhầm.</t>
  </si>
  <si>
    <t>Yolo:Bit; mạch mở rộng; LED RGB; nút A/B; loa; App; khung trò luồn dây.
Bổ sung: Bộ luồn dây chuẩn hóa; loa.</t>
  </si>
  <si>
    <t>Ảnh/video: Trò luồn dây/chuông báo tiếp xúc.. Kèm câu trẻ tự trả lời: “Vì sao chạm vào dây lại khiến còi kêu?”</t>
  </si>
  <si>
    <t>GỢI NHỚ (2–4 phút): B8–B11 bằng trò hỏi nhanh. CÂU HỎI: Cô đưa game chưa hoạt động: nhóm nào giúp nó chạy?</t>
  </si>
  <si>
    <t>LÀM NGAY: 3 trạm chọn 2: bộ đếm A+, B-reset; xúc xắc; sửa trò luồn dây. GV không cấp code nguyên bài.
GV chỉ giảng khái niệm sau khi trẻ quan sát và cần lời giải thích.</t>
  </si>
  <si>
    <t>TỰ THỬ: Nhận yêu cầu mới: thêm âm báo khi đạt 5 điểm.</t>
  </si>
  <si>
    <t>Yolo:Bit; mạch mở rộng; LED RGB; nút A/B; loa; App; khung trò luồn dây.
Bổ sung: Thẻ nhiệm vụ 3 trạm.</t>
  </si>
  <si>
    <t>Ảnh/video: Trò chơi hoạt động + bằng chứng tự sửa.. Kèm câu trẻ tự trả lời: “Cô đưa game chưa hoạt động: nhóm nào giúp nó chạy?”</t>
  </si>
  <si>
    <t>GỢI NHỚ (2–4 phút): B5–B7 Light Show và sửa lỗi. CÂU HỎI: Ở ngã tư Rio, tín hiệu đổi màu ra sao để ai cũng biết chờ?</t>
  </si>
  <si>
    <t>LÀM NGAY: Lắp đèn giao thông RGB; kéo các pha đỏ→xanh→vàng, thời gian mẫu; thử một chu kỳ.
GV chỉ giảng khái niệm sau khi trẻ quan sát và cần lời giải thích.</t>
  </si>
  <si>
    <t>TỰ THỬ: Tự chọn thời gian cho khu vực trước cổng trường và giải thích.</t>
  </si>
  <si>
    <t>Yolo:Bit; mạch mở rộng; LED RGB; nút A/B; loa; App; khung trò luồn dây.
Bổ sung: LED; mô hình đường; thẻ xe.</t>
  </si>
  <si>
    <t>Ảnh/video: Đèn giao thông V1.. Kèm câu trẻ tự trả lời: “Ở ngã tư Rio, tín hiệu đổi màu ra sao để ai cũng biết chờ?”</t>
  </si>
  <si>
    <t>GỢI NHỚ (2–4 phút): Đèn giao thông V1; nút A/B. CÂU HỎI: Nếu đường vắng về đêm hoặc có người xin qua đường, đèn nên phản ứng thế nào?</t>
  </si>
  <si>
    <t>LÀM NGAY: Giữ chương trình 3 màu; thêm nút đổi chế độ hoặc đèn vàng nhấp nháy mô phỏng ban đêm.
GV chỉ giảng khái niệm sau khi trẻ quan sát và cần lời giải thích.</t>
  </si>
  <si>
    <t>TỰ THỬ: Một nhóm đóng vai người tham gia giao thông, đưa 3 tình huống để nhóm khác sửa.</t>
  </si>
  <si>
    <t>Yolo:Bit; mạch mở rộng; LED RGB; nút A/B; loa; App; khung trò luồn dây.
Bổ sung: Bản đồ giao thông mô phỏng.</t>
  </si>
  <si>
    <t>Ảnh/video: Đèn giao thông V2 với nút đổi chế độ.. Kèm câu trẻ tự trả lời: “Nếu đường vắng về đêm hoặc có người xin qua đường, đèn nên phản ứng thế nào?”</t>
  </si>
  <si>
    <t>GỢI NHỚ (2–4 phút): Từ chương trình V1/V2 cũ. CÂU HỎI: Ngoài giao thông, nơi nào trong trường cần tín hiệu dễ hiểu?</t>
  </si>
  <si>
    <t>LÀM NGAY: Nhóm chọn báo hết giờ/báo cửa lớp/đèn chú ý; vẽ 3 bước rồi tự làm V1, đổi vai kiểm tra.
GV chỉ giảng khái niệm sau khi trẻ quan sát và cần lời giải thích.</t>
  </si>
  <si>
    <t>TỰ THỬ: Nhóm khác thử sản phẩm và ghi 1 điều muốn cải thiện; sửa thành V2.</t>
  </si>
  <si>
    <t>Yolo:Bit; mạch mở rộng; LED RGB; nút A/B; loa; App; khung trò luồn dây.
Bổ sung: Vật liệu trang trí; bộ K1.</t>
  </si>
  <si>
    <t>Ảnh/video: Sản phẩm tín hiệu V2 + phiếu góp ý.. Kèm câu trẻ tự trả lời: “Ngoài giao thông, nơi nào trong trường cần tín hiệu dễ hiểu?”</t>
  </si>
  <si>
    <t>GỢI NHỚ (2–4 phút): Chơi “đoán lệnh” 2 phút. CÂU HỎI: Làm cách nào để khách mới chơi được mà cô không hướng dẫn?</t>
  </si>
  <si>
    <t>LÀM NGAY: Mỗi nhóm trưng bày; khách chọn 1 nút hoặc yêu cầu; trẻ tự diễn giải và thử.
GV chỉ giảng khái niệm sau khi trẻ quan sát và cần lời giải thích.</t>
  </si>
  <si>
    <t>TỰ THỬ: Cô thay đổi nhẹ yêu cầu; nhóm ứng biến hoặc nêu kế hoạch sửa.</t>
  </si>
  <si>
    <t>Yolo:Bit; mạch mở rộng; LED RGB; nút A/B; loa; App; khung trò luồn dây.
Bổ sung: Phiếu phản hồi đơn giản.</t>
  </si>
  <si>
    <t>Ảnh/video: Maker Day K1: thiết bị tín hiệu có người trải nghiệm.. Kèm câu trẻ tự trả lời: “Làm cách nào để khách mới chơi được mà cô không hướng dẫn?”</t>
  </si>
  <si>
    <t>K02  |  SENSOR LAB – GIÁC QUAN CỦA MÁY  •  HỌC QUA LÀM THẬT</t>
  </si>
  <si>
    <t>Tiếp nối Rio • 7–10 tuổi • 16 buổi × 90 phút linh hoạt • Khái niệm xuất hiện ngay trong sản phẩm • Thử – sửa – làm lại</t>
  </si>
  <si>
    <t>Kiến thức chỉ giảng đúng lúc cần; mục tiêu: Mọi khái niệm về cảm biến đều đến từ việc chơi và tạo ra đèn chào tay, chuông cửa, gậy báo, máy rửa tay, chậu cây; không học tính toán, ADC hay hiệu chuẩn lý thuyết.</t>
  </si>
  <si>
    <t>Siêu âm; ẩm đất; LED/loa; bơm mini; khay nước; thước; gas chỉ GV demo.</t>
  </si>
  <si>
    <t>GỢI NHỚ (2–4 phút): K1: nút bấm làm đèn sáng. CÂU HỎI: Có thể làm đèn chào mà không chạm nút không?</t>
  </si>
  <si>
    <t>LÀM NGAY: GV đưa mẫu hoạt động trước; trẻ nối siêu âm với LED, thử đưa tay gần/xa và chỉ ra khi đèn đổi.
GV chỉ giảng khái niệm sau khi trẻ quan sát và cần lời giải thích.</t>
  </si>
  <si>
    <t>TỰ THỬ: Thay tay bằng quyển sách/khối gỗ, dự đoán cảm biến có nhận ra không.</t>
  </si>
  <si>
    <t>Siêu âm; ẩm đất; LED/loa; bơm mini; khay nước; thước; gas chỉ GV demo.
Bổ sung: Siêu âm; LED RGB; vật mẫu.</t>
  </si>
  <si>
    <t>Ảnh/video: Đèn chào tay không chạm.. Kèm câu trẻ tự trả lời: “Có thể làm đèn chào mà không chạm nút không?”</t>
  </si>
  <si>
    <t>GỢI NHỚ (2–4 phút): Đèn chào tay B1. CÂU HỎI: Làm sao biết bàn tay đang cách sensor bao nhiêu?</t>
  </si>
  <si>
    <t>LÀM NGAY: Đo bằng thước ở 10/20/30 cm, sau đó nhìn số hiện trên Yolo:Bit/App; trẻ dán thẻ xa–gần.
GV chỉ giảng khái niệm sau khi trẻ quan sát và cần lời giải thích.</t>
  </si>
  <si>
    <t>TỰ THỬ: Cho bạn giấu một vật ở khoảng cách bất ngờ rồi đọc và đo lại bằng thước.</t>
  </si>
  <si>
    <t>Siêu âm; ẩm đất; LED/loa; bơm mini; khay nước; thước; gas chỉ GV demo.
Bổ sung: Thước; bảng sticker; siêu âm.</t>
  </si>
  <si>
    <t>Ảnh/video: Bảng 3 khoảng cách có hình/nhãn.. Kèm câu trẻ tự trả lời: “Làm sao biết bàn tay đang cách sensor bao nhiêu?”</t>
  </si>
  <si>
    <t>GỢI NHỚ (2–4 phút): B2: đo gần/xa. CÂU HỎI: Làm sao để máy chỉ báo khi có người đứng trước cửa?</t>
  </si>
  <si>
    <t>LÀM NGAY: Nhóm chọn vị trí “cửa”; dùng thước đặt vạch 15–20 cm, kéo khối nếu khoảng cách nhỏ hơn vạch thì phát âm/đổi LED.
GV chỉ giảng khái niệm sau khi trẻ quan sát và cần lời giải thích.</t>
  </si>
  <si>
    <t>TỰ THỬ: Cho bạn thử đứng xa, gần và đúng quanh vạch; điều chỉnh vạch để không báo sai.</t>
  </si>
  <si>
    <t>Siêu âm; ẩm đất; LED/loa; bơm mini; khay nước; thước; gas chỉ GV demo.
Bổ sung: Cửa giấy; loa; LED.</t>
  </si>
  <si>
    <t>Ảnh/video: Chuông cửa cảm biến khoảng cách V1.. Kèm câu trẻ tự trả lời: “Làm sao để máy chỉ báo khi có người đứng trước cửa?”</t>
  </si>
  <si>
    <t>GỢI NHỚ (2–4 phút): B2–B3: cm, vạch báo. CÂU HỎI: Nếu trước cảm biến là vải mềm và hộp giấy, tiếng chuông có giống nhau không?</t>
  </si>
  <si>
    <t>LÀM NGAY: Lập 3 “cổng” bằng vật liệu; đi dọc đường hầm để xem báo đúng/sai; chỉ thay đổi một vị trí mỗi lần.
GV chỉ giảng khái niệm sau khi trẻ quan sát và cần lời giải thích.</t>
  </si>
  <si>
    <t>TỰ THỬ: Tự thay đổi hướng đặt vật, nói khi nào đo khó và làm cách nào thử lại.</t>
  </si>
  <si>
    <t>Siêu âm; ẩm đất; LED/loa; bơm mini; khay nước; thước; gas chỉ GV demo.
Bổ sung: Hộp, vải, sách; thước.</t>
  </si>
  <si>
    <t>Ảnh/video: Bảng quan sát đường hầm + cảnh báo cải tiến.. Kèm câu trẻ tự trả lời: “Nếu trước cảm biến là vải mềm và hộp giấy, tiếng chuông có giống nhau không?”</t>
  </si>
  <si>
    <t>GỢI NHỚ (2–4 phút): B3: chuông cửa báo gần. CÂU HỎI: Người ít nhìn thấy phía trước cần biết gần có vật cản thì làm sao?</t>
  </si>
  <si>
    <t>LÀM NGAY: Dùng ống bìa mô phỏng gậy, gắn cảm biến nhẹ và đèn/loa; thử 3 khoảng cách trên bàn.
GV chỉ giảng khái niệm sau khi trẻ quan sát và cần lời giải thích.</t>
  </si>
  <si>
    <t>TỰ THỬ: Hai mức cảnh báo gần/rất gần nếu nhóm đã làm xong; đổi âm sắc để dễ phân biệt.</t>
  </si>
  <si>
    <t>Siêu âm; ẩm đất; LED/loa; bơm mini; khay nước; thước; gas chỉ GV demo.
Bổ sung: Ống bìa; siêu âm; loa.</t>
  </si>
  <si>
    <t>Ảnh/video: Mẫu gậy báo vật cản đặt bàn.. Kèm câu trẻ tự trả lời: “Người ít nhìn thấy phía trước cần biết gần có vật cản thì làm sao?”</t>
  </si>
  <si>
    <t>GỢI NHỚ (2–4 phút): Gậy V1, đo cm. CÂU HỎI: Gậy báo liên tục dù không có vật cản: do đâu?</t>
  </si>
  <si>
    <t>LÀM NGAY: Cô làm sẵn 2 lỗi (chọn vạch quá lớn, cắm sai cổng); nhóm tự quan sát, thử rồi sửa.
GV chỉ giảng khái niệm sau khi trẻ quan sát và cần lời giải thích.</t>
  </si>
  <si>
    <t>TỰ THỬ: Cho người dùng đi qua 3 điểm có vật mềm/cứng ở trạng thái mô phỏng; ghi đúng/sai.</t>
  </si>
  <si>
    <t>Siêu âm; ẩm đất; LED/loa; bơm mini; khay nước; thước; gas chỉ GV demo.
Bổ sung: Chướng ngại mềm; bảng thử.</t>
  </si>
  <si>
    <t>Ảnh/video: Gậy cảnh báo V2 + 3 lần thử.. Kèm câu trẻ tự trả lời: “Gậy báo liên tục dù không có vật cản: do đâu?”</t>
  </si>
  <si>
    <t>GỢI NHỚ (2–4 phút): B3: đủ gần mới báo. CÂU HỎI: Nếu tay bẩn, làm sao lấy nước/xà phòng mà không chạm nút?</t>
  </si>
  <si>
    <t>LÀM NGAY: Giáo viên lắp sẵn khay và đường ống; bé kết nối phần an toàn, thử bơm bằng tay trước rồi dùng siêu âm.
GV chỉ giảng khái niệm sau khi trẻ quan sát và cần lời giải thích.</t>
  </si>
  <si>
    <t>TỰ THỬ: Đổi khoảng cách kích hoạt để phù hợp các bàn tay giả kích thước khác nhau.</t>
  </si>
  <si>
    <t>Siêu âm; ẩm đất; LED/loa; bơm mini; khay nước; thước; gas chỉ GV demo.
Bổ sung: Bơm; khay; ống; tay giấy.</t>
  </si>
  <si>
    <t>Ảnh/video: Máy rửa tay V1 trên khay khô/ướt tách biệt.. Kèm câu trẻ tự trả lời: “Nếu tay bẩn, làm sao lấy nước/xà phòng mà không chạm nút?”</t>
  </si>
  <si>
    <t>GỢI NHỚ (2–4 phút): B6–B7: tránh báo nhầm, bơm. CÂU HỎI: Máy rửa tay phun lâu quá: làm sao tiết kiệm?</t>
  </si>
  <si>
    <t>LÀM NGAY: Nhóm thử 3 lần, quan sát lượng nước bằng cốc có vạch/đánh dấu; thêm thời gian bơm ngắn và dừng.
GV chỉ giảng khái niệm sau khi trẻ quan sát và cần lời giải thích.</t>
  </si>
  <si>
    <t>TỰ THỬ: Cho bạn mới dùng thử và sửa vạch phát hiện/độ dài bơm.</t>
  </si>
  <si>
    <t>Siêu âm; ẩm đất; LED/loa; bơm mini; khay nước; thước; gas chỉ GV demo.
Bổ sung: Cốc vạch; khay; khăn lau.</t>
  </si>
  <si>
    <t>Ảnh/video: Máy rửa tay V2 + phiếu trước–sau.. Kèm câu trẻ tự trả lời: “Máy rửa tay phun lâu quá: làm sao tiết kiệm?”</t>
  </si>
  <si>
    <t>GỢI NHỚ (2–4 phút): B2: số đo thay đổi khi môi trường đổi. CÂU HỎI: Ba chậu giống nhau, chậu nào cần tưới?</t>
  </si>
  <si>
    <t>LÀM NGAY: Chạm đất bằng thìa/que (không tay trần nếu không muốn); cắm đầu dò vào mẫu khô, vừa ẩm, ướt; xếp thẻ theo thứ tự.
GV chỉ giảng khái niệm sau khi trẻ quan sát và cần lời giải thích.</t>
  </si>
  <si>
    <t>TỰ THỬ: Bé dự đoán rồi kiểm tra mẫu đất mới, nêu vì sao số đo có thể khác.</t>
  </si>
  <si>
    <t>Siêu âm; ẩm đất; LED/loa; bơm mini; khay nước; thước; gas chỉ GV demo.
Bổ sung: Soil moisture; 3 cốc đất.</t>
  </si>
  <si>
    <t>Ảnh/video: Bảng 3 mẫu đất với nhãn màu.. Kèm câu trẻ tự trả lời: “Ba chậu giống nhau, chậu nào cần tưới?”</t>
  </si>
  <si>
    <t>GỢI NHỚ (2–4 phút): B3 &amp; B9: chọn vạch từ mẫu thật. CÂU HỎI: Cây không nói được, ta làm đèn báo giúp cây nhé?</t>
  </si>
  <si>
    <t>LÀM NGAY: Trẻ chọn một mức từ ba cốc đất, thử chương trình LED đỏ khi khô/xanh khi đủ ẩm; đối chiếu với cảm nhận.
GV chỉ giảng khái niệm sau khi trẻ quan sát và cần lời giải thích.</t>
  </si>
  <si>
    <t>TỰ THỬ: Đổi “vạch báo” để thấy có trường hợp bật sai; nhóm chọn lại mức phù hợp.</t>
  </si>
  <si>
    <t>Siêu âm; ẩm đất; LED/loa; bơm mini; khay nước; thước; gas chỉ GV demo.
Bổ sung: LED; cốc đất; khăn.</t>
  </si>
  <si>
    <t>Ảnh/video: Đèn báo đất khô với ngưỡng do nhóm chọn.. Kèm câu trẻ tự trả lời: “Cây không nói được, ta làm đèn báo giúp cây nhé?”</t>
  </si>
  <si>
    <t>GỢI NHỚ (2–4 phút): B7: bơm không chạm; B10: đất khô. CÂU HỎI: Khi đi vắng ai nhớ tưới cây?</t>
  </si>
  <si>
    <t>LÀM NGAY: Trên khay chống nước, dùng cốc đất khô/ẩm để bật/tắt bơm vào cốc nhận; kiểm tra việc dừng.
GV chỉ giảng khái niệm sau khi trẻ quan sát và cần lời giải thích.</t>
  </si>
  <si>
    <t>TỰ THỬ: Dùng hai mẫu đất khác nhau để xem chương trình có quyết định giống mong muốn không.</t>
  </si>
  <si>
    <t>Siêu âm; ẩm đất; LED/loa; bơm mini; khay nước; thước; gas chỉ GV demo.
Bổ sung: Soil moisture; bơm; 2 khay.</t>
  </si>
  <si>
    <t>Ảnh/video: Chậu cây tưới tự động V1.. Kèm câu trẻ tự trả lời: “Khi đi vắng ai nhớ tưới cây?”</t>
  </si>
  <si>
    <t>GỢI NHỚ (2–4 phút): B8: hạn chế bơm chạy lâu. CÂU HỎI: Nếu đất đã ẩm mà bơm vẫn chạy, con sẽ sửa ở đâu?</t>
  </si>
  <si>
    <t>LÀM NGAY: Nhóm thử đất khô→ẩm, ghi hai lần chạy, bổ sung giới hạn thời gian và kiểm tra sau bơm (tùy cấu hình).
GV chỉ giảng khái niệm sau khi trẻ quan sát và cần lời giải thích.</t>
  </si>
  <si>
    <t>TỰ THỬ: Một bạn cố tình đặt vạch sai; nhóm khác tìm vấn đề và chỉnh.</t>
  </si>
  <si>
    <t>Siêu âm; ẩm đất; LED/loa; bơm mini; khay nước; thước; gas chỉ GV demo.
Bổ sung: Khay nước; đồng hồ; khăn.</t>
  </si>
  <si>
    <t>Ảnh/video: Chậu cây V2 + 3 tình huống kiểm chứng.. Kèm câu trẻ tự trả lời: “Nếu đất đã ẩm mà bơm vẫn chạy, con sẽ sửa ở đâu?”</t>
  </si>
  <si>
    <t>GỢI NHỚ (2–4 phút): B1, B9: cảm biến nào đo gì. CÂU HỎI: Máy đo khoảng cách có biết không khí xung quanh thay đổi không?</t>
  </si>
  <si>
    <t>LÀM NGAY: Giáo viên cho xem dữ liệu/clip hoặc số đo kiểm thử an toàn đã chuẩn bị; học sinh ghép ảnh tình huống với cảm biến phù hợp.
GV chỉ giảng khái niệm sau khi trẻ quan sát và cần lời giải thích.</t>
  </si>
  <si>
    <t>TỰ THỬ: Dùng LED/loa để mô phỏng báo động khi nhập một giá trị giả lập; giải thích vì sao không phải máy báo khí đạt chuẩn.</t>
  </si>
  <si>
    <t>Siêu âm; ẩm đất; LED/loa; bơm mini; khay nước; thước; gas chỉ GV demo.
Bổ sung: Gas sensor: GV demo hoặc dữ liệu mô phỏng.</t>
  </si>
  <si>
    <t>Ảnh/video: Bảng phân loại giác quan máy + demo an toàn.. Kèm câu trẻ tự trả lời: “Máy đo khoảng cách có biết không khí xung quanh thay đổi không?”</t>
  </si>
  <si>
    <t>GỢI NHỚ (2–4 phút): B3/B10: ngưỡng là gì. CÂU HỎI: Cô giao 3 mật thư: cửa có khách, chậu thiếu nước, cảnh báo không khí.</t>
  </si>
  <si>
    <t>LÀM NGAY: Chia trạm; nhóm rút 1 mật thư, chọn thẻ sensor, dựng nguyên lý đơn giản và demo với mẫu vật hoặc dữ liệu mô phỏng.
GV chỉ giảng khái niệm sau khi trẻ quan sát và cần lời giải thích.</t>
  </si>
  <si>
    <t>TỰ THỬ: Đổi mật thư với nhóm khác, thay đổi đúng module và điều kiện.</t>
  </si>
  <si>
    <t>Siêu âm; ẩm đất; LED/loa; bơm mini; khay nước; thước; gas chỉ GV demo.
Bổ sung: Thẻ mật thư; bộ cảm biến an toàn.</t>
  </si>
  <si>
    <t>Ảnh/video: Sơ đồ chọn cảm biến + prototype ngắn.. Kèm câu trẻ tự trả lời: “Cô giao 3 mật thư: cửa có khách, chậu thiếu nước, cảnh báo không khí.”</t>
  </si>
  <si>
    <t>GỢI NHỚ (2–4 phút): Nhắc lại sản phẩm B5/B11. CÂU HỎI: Ở nhà hoặc lớp con muốn máy giúp việc nào?</t>
  </si>
  <si>
    <t>LÀM NGAY: Đội chọn đèn chuông cửa/gậy mẫu/chậu tự tưới; không cấp nguyên bài, chỉ cấp 4 tiêu chí.
GV chỉ giảng khái niệm sau khi trẻ quan sát và cần lời giải thích.</t>
  </si>
  <si>
    <t>TỰ THỬ: Người dùng nhóm khác thử 2 tình huống mới; chỉnh vạch hoặc thời gian thành V2.</t>
  </si>
  <si>
    <t>Siêu âm; ẩm đất; LED/loa; bơm mini; khay nước; thước; gas chỉ GV demo.
Bổ sung: Bộ siêu âm/ẩm + output phù hợp.</t>
  </si>
  <si>
    <t>Ảnh/video: Sản phẩm cảm biến V2 + bảng 3 thử nghiệm.. Kèm câu trẻ tự trả lời: “Ở nhà hoặc lớp con muốn máy giúp việc nào?”</t>
  </si>
  <si>
    <t>GỢI NHỚ (2–4 phút): Đoán “bí mật sensor” từ sản phẩm bạn. CÂU HỎI: Khách thử sản phẩm của nhóm nhưng có thể dùng khác tưởng tượng của con.</t>
  </si>
  <si>
    <t>LÀM NGAY: Nhóm trưng bày; khách đưa tay/vật/cốc đất; trẻ cho chạy, trả lời thắc mắc, ghi nhận phản hồi.
GV chỉ giảng khái niệm sau khi trẻ quan sát và cần lời giải thích.</t>
  </si>
  <si>
    <t>TỰ THỬ: GV thay đổi 1 tình huống, trẻ dự đoán hoạt động và đề xuất sửa.</t>
  </si>
  <si>
    <t>Siêu âm; ẩm đất; LED/loa; bơm mini; khay nước; thước; gas chỉ GV demo.
Bổ sung: Sản phẩm nhóm, bảng ảnh trước–sau.</t>
  </si>
  <si>
    <t>Ảnh/video: Triển lãm Sensor Lab + hồ sơ V1→V2.. Kèm câu trẻ tự trả lời: “Khách thử sản phẩm của nhóm nhưng có thể dùng khác tưởng tượng của con.”</t>
  </si>
  <si>
    <t>K03  |  SMART HOME ENGINEER  •  HỌC QUA LÀM THẬT</t>
  </si>
  <si>
    <t>Tiếp nối Rio • 8–10 tuổi • 16 buổi × 90 phút linh hoạt • Khái niệm xuất hiện ngay trong sản phẩm • Thử – sửa – làm lại</t>
  </si>
  <si>
    <t>Kiến thức chỉ giảng đúng lúc cần; mục tiêu: Làm từng thiết bị phục vụ đời sống, sau đó ghép 2 thiết bị. Trẻ học servo, keypad, điều kiện ngay trên vật thật, chưa bắt làm hệ thống phức tạp quá sớm.</t>
  </si>
  <si>
    <t>Starter Kit Super; servo; keypad; siêu âm; LED/loa; motor quạt có lồng.</t>
  </si>
  <si>
    <t>GỢI NHỚ (2–4 phút): K2: máy nhận tín hiệu rồi làm. CÂU HỎI: Làm sao cánh cửa tự mở đúng một góc mà không va vào tường?</t>
  </si>
  <si>
    <t>LÀM NGAY: Gắn cánh cửa giấy với servo trên khung cố định; thử 3 góc đã duyệt, đánh dấu vùng an toàn.
GV chỉ giảng khái niệm sau khi trẻ quan sát và cần lời giải thích.</t>
  </si>
  <si>
    <t>TỰ THỬ: Một bạn dùng thước/góc mẫu ra yêu cầu mở rộng/hẹp, bạn khác chỉnh code.</t>
  </si>
  <si>
    <t>Starter Kit Super; servo; keypad; siêu âm; LED/loa; motor quạt có lồng.
Bổ sung: Servo; cửa giấy; bìa.</t>
  </si>
  <si>
    <t>Ảnh/video: Cánh cửa servo có hai vị trí an toàn.. Kèm câu trẻ tự trả lời: “Làm sao cánh cửa tự mở đúng một góc mà không va vào tường?”</t>
  </si>
  <si>
    <t>GỢI NHỚ (2–4 phút): K2: chuông cửa đủ gần mới báo. CÂU HỎI: Xe đến cổng nhưng bác bảo vệ chưa kịp mở: làm sao trợ giúp?</t>
  </si>
  <si>
    <t>LÀM NGAY: Gắn xe đồ chơi, cảm biến, barrier; cho xe vào khoảng đã chọn, kiểm tra mở/đóng.
GV chỉ giảng khái niệm sau khi trẻ quan sát và cần lời giải thích.</t>
  </si>
  <si>
    <t>TỰ THỬ: Đổi xe to/nhỏ và vạch phát hiện, tìm chỗ đặt cảm biến hợp lý.</t>
  </si>
  <si>
    <t>Starter Kit Super; servo; keypad; siêu âm; LED/loa; motor quạt có lồng.
Bổ sung: Servo; siêu âm; xe mô hình.</t>
  </si>
  <si>
    <t>Ảnh/video: Bãi đậu xe V1.. Kèm câu trẻ tự trả lời: “Xe đến cổng nhưng bác bảo vệ chưa kịp mở: làm sao trợ giúp?”</t>
  </si>
  <si>
    <t>GỢI NHỚ (2–4 phút): B2: sensor và góc servo. CÂU HỎI: Nếu xe chưa đi qua mà cổng đã đóng thì sao?</t>
  </si>
  <si>
    <t>LÀM NGAY: Thử 3 lượt xe chậm/nhanh; đổi một thời gian, so kết quả trước–sau.
GV chỉ giảng khái niệm sau khi trẻ quan sát và cần lời giải thích.</t>
  </si>
  <si>
    <t>TỰ THỬ: Thêm đèn đang mở/đang đóng để người dùng nhận ra tình trạng.</t>
  </si>
  <si>
    <t>Starter Kit Super; servo; keypad; siêu âm; LED/loa; motor quạt có lồng.
Bổ sung: Xe đồ chơi; stopwatch; RGB.</t>
  </si>
  <si>
    <t>Ảnh/video: Bãi xe V2 cùng nhật ký kiểm thử.. Kèm câu trẻ tự trả lời: “Nếu xe chưa đi qua mà cổng đã đóng thì sao?”</t>
  </si>
  <si>
    <t>GỢI NHỚ (2–4 phút): B2–B3: khoảng cách→servo. CÂU HỎI: Khi tay đang bẩn, con có thể mở thùng rác thế nào?</t>
  </si>
  <si>
    <t>LÀM NGAY: Lắp thùng giấy gắn nắp servo; làm nắp mở khi đưa tay gần, đóng khi rời tay.
GV chỉ giảng khái niệm sau khi trẻ quan sát và cần lời giải thích.</t>
  </si>
  <si>
    <t>TỰ THỬ: Đặt sensor thấp/cao để giảm mở nhầm; cho bạn dùng thử.</t>
  </si>
  <si>
    <t>Starter Kit Super; servo; keypad; siêu âm; LED/loa; motor quạt có lồng.
Bổ sung: Thùng giấy; servo; sensor.</t>
  </si>
  <si>
    <t>Ảnh/video: Thùng rác tự mở V1.. Kèm câu trẻ tự trả lời: “Khi tay đang bẩn, con có thể mở thùng rác thế nào?”</t>
  </si>
  <si>
    <t>GỢI NHỚ (2–4 phút): K1: âm thanh/LED; K3 B4 nắp. CÂU HỎI: Thùng rác đã mở nhưng người ta không biết có sẵn sàng chưa?</t>
  </si>
  <si>
    <t>LÀM NGAY: Thêm một LED hoặc âm báo ngắn khi nắp mở; cho bạn khác thử mà không hướng dẫn.
GV chỉ giảng khái niệm sau khi trẻ quan sát và cần lời giải thích.</t>
  </si>
  <si>
    <t>TỰ THỬ: Sửa một phản hồi khiến người dùng khó hiểu (quá nhanh, quá ồn, mở không đúng lúc).</t>
  </si>
  <si>
    <t>Starter Kit Super; servo; keypad; siêu âm; LED/loa; motor quạt có lồng.
Bổ sung: LED/loa; phiếu thử.</t>
  </si>
  <si>
    <t>Ảnh/video: Thùng rác V2 + phản hồi người thử.. Kèm câu trẻ tự trả lời: “Thùng rác đã mở nhưng người ta không biết có sẵn sàng chưa?”</t>
  </si>
  <si>
    <t>GỢI NHỚ (2–4 phút): K1: nút A/B là input. CÂU HỎI: Khi có nhiều nút, máy nhận ra nút nào được bấm?</t>
  </si>
  <si>
    <t>LÀM NGAY: Kết nối keypad; bấm phím để Yolo hiển thị số; thử một mã ngắn do GV cho.
GV chỉ giảng khái niệm sau khi trẻ quan sát và cần lời giải thích.</t>
  </si>
  <si>
    <t>TỰ THỬ: Cho bạn “đặt mật mã” 2–3 ký tự rồi kiểm tra người khác gõ đúng.</t>
  </si>
  <si>
    <t>Starter Kit Super; servo; keypad; siêu âm; LED/loa; motor quạt có lồng.
Bổ sung: Keypad; thẻ mã.</t>
  </si>
  <si>
    <t>Ảnh/video: Bảng điều khiển nhập 2–3 ký tự.. Kèm câu trẻ tự trả lời: “Khi có nhiều nút, máy nhận ra nút nào được bấm?”</t>
  </si>
  <si>
    <t>GỢI NHỚ (2–4 phút): Keypad B6; góc servo B1. CÂU HỎI: Làm sao bảo vệ góc đồ chơi của nhóm?</t>
  </si>
  <si>
    <t>LÀM NGAY: Dùng mã ngắn cố định; khi đúng mở cửa, khi sai đèn đỏ; thử hai lượt đúng/sai.
GV chỉ giảng khái niệm sau khi trẻ quan sát và cần lời giải thích.</t>
  </si>
  <si>
    <t>TỰ THỬ: Thiết kế thẻ hướng dẫn cho bạn khác tự dùng cửa.</t>
  </si>
  <si>
    <t>Starter Kit Super; servo; keypad; siêu âm; LED/loa; motor quạt có lồng.
Bổ sung: Keypad; servo; LED; bìa cửa.</t>
  </si>
  <si>
    <t>Ảnh/video: Cửa thông minh V1.. Kèm câu trẻ tự trả lời: “Làm sao bảo vệ góc đồ chơi của nhóm?”</t>
  </si>
  <si>
    <t>GỢI NHỚ (2–4 phút): B6–B7: xác nhận mã. CÂU HỎI: Bạn bấm nhầm một số rồi muốn nhập lại thì làm thế nào?</t>
  </si>
  <si>
    <t>LÀM NGAY: Thử các thẻ tình huống: sai mã, chưa đủ mã, mã đúng; thêm nút/xử lý xóa hoặc thông báo.
GV chỉ giảng khái niệm sau khi trẻ quan sát và cần lời giải thích.</t>
  </si>
  <si>
    <t>TỰ THỬ: Đổi vai lập trình viên–người dùng; sửa điều khó hiểu nhất.</t>
  </si>
  <si>
    <t>Starter Kit Super; servo; keypad; siêu âm; LED/loa; motor quạt có lồng.
Bổ sung: Thẻ tình huống; keypad.</t>
  </si>
  <si>
    <t>Ảnh/video: Cửa thông minh V2 dễ sử dụng.. Kèm câu trẻ tự trả lời: “Bạn bấm nhầm một số rồi muốn nhập lại thì làm thế nào?”</t>
  </si>
  <si>
    <t>GỢI NHỚ (2–4 phút): B2–B8: barrier, bin, door. CÂU HỎI: Nếu thùng rác bị lỗi, cửa nhà có phải dừng theo không?</t>
  </si>
  <si>
    <t>LÀM NGAY: Nhóm chọn cửa + thùng rác hoặc barrier + đèn; thử từng cụm trước khi đặt vào sa bàn.
GV chỉ giảng khái niệm sau khi trẻ quan sát và cần lời giải thích.</t>
  </si>
  <si>
    <t>TỰ THỬ: Bạn khác cố tình đổi tình huống ở một cụm, nhóm kiểm tra cụm còn lại.</t>
  </si>
  <si>
    <t>Starter Kit Super; servo; keypad; siêu âm; LED/loa; motor quạt có lồng.
Bổ sung: Sa bàn nhà; module đã học.</t>
  </si>
  <si>
    <t>Ảnh/video: Mô hình ngôi nhà hai chức năng V1.. Kèm câu trẻ tự trả lời: “Nếu thùng rác bị lỗi, cửa nhà có phải dừng theo không?”</t>
  </si>
  <si>
    <t>GỢI NHỚ (2–4 phút): B4 thùng rác và K2 siêu âm. CÂU HỎI: Khi bàn không có người, đèn có cần sáng mãi không?</t>
  </si>
  <si>
    <t>LÀM NGAY: Lắp đèn bàn LED; khi đặt tượng người gần thì bật, xa thì tắt; thử các khoảng cách.
GV chỉ giảng khái niệm sau khi trẻ quan sát và cần lời giải thích.</t>
  </si>
  <si>
    <t>TỰ THỬ: Thêm thời gian sáng vừa đủ để không tắt ngay khi người nhúc nhích.</t>
  </si>
  <si>
    <t>Starter Kit Super; servo; keypad; siêu âm; LED/loa; motor quạt có lồng.
Bổ sung: LED; siêu âm; mô hình bàn.</t>
  </si>
  <si>
    <t>Ảnh/video: Đèn bàn thông minh V1.. Kèm câu trẻ tự trả lời: “Khi bàn không có người, đèn có cần sáng mãi không?”</t>
  </si>
  <si>
    <t>GỢI NHỚ (2–4 phút): B10 đèn bàn; K4 chưa học motor sâu. CÂU HỎI: Có người ngồi học thì nên bật những thiết bị nào?</t>
  </si>
  <si>
    <t>LÀM NGAY: Giáo viên chuẩn bị motor có lồng bảo vệ; nhóm lập trình bật đèn/quạt theo sensor, phân biệt chức năng.
GV chỉ giảng khái niệm sau khi trẻ quan sát và cần lời giải thích.</t>
  </si>
  <si>
    <t>TỰ THỬ: Thêm nút tắt thủ công hoặc trễ tắt đèn để người dùng kiểm soát.</t>
  </si>
  <si>
    <t>Starter Kit Super; servo; keypad; siêu âm; LED/loa; motor quạt có lồng.
Bổ sung: Motor/quạt có lồng; siêu âm; LED.</t>
  </si>
  <si>
    <t>Ảnh/video: Bàn học đèn + quạt mô phỏng.. Kèm câu trẻ tự trả lời: “Có người ngồi học thì nên bật những thiết bị nào?”</t>
  </si>
  <si>
    <t>GỢI NHỚ (2–4 phút): K2 B13 cảm biến gas GV demo. CÂU HỎI: Máy báo động có ích gì khi mọi người ở phòng khác?</t>
  </si>
  <si>
    <t>LÀM NGAY: GV cung cấp số liệu gas mô phỏng/dữ liệu mẫu; trẻ tạo đèn đỏ + âm báo khi vượt vạch giả lập.
GV chỉ giảng khái niệm sau khi trẻ quan sát và cần lời giải thích.</t>
  </si>
  <si>
    <t>TỰ THỬ: Thêm nút im lặng trong mô hình và thông báo “đã nhận cảnh báo”.</t>
  </si>
  <si>
    <t>Starter Kit Super; servo; keypad; siêu âm; LED/loa; motor quạt có lồng.
Bổ sung: LED; loa; dữ liệu demo.</t>
  </si>
  <si>
    <t>Ảnh/video: Hộp mô phỏng cảnh báo an toàn.. Kèm câu trẻ tự trả lời: “Máy báo động có ích gì khi mọi người ở phòng khác?”</t>
  </si>
  <si>
    <t>GỢI NHỚ (2–4 phút): B7/B10/B12: cửa, đèn, cảnh báo. CÂU HỎI: Khách đúng mã đến lúc phòng tối thì ngôi nhà làm gì trước?</t>
  </si>
  <si>
    <t>LÀM NGAY: Chọn 2 chức năng từ bộ thiết bị, vẽ thứ tự hoạt động bằng 3 thẻ, build và thử.
GV chỉ giảng khái niệm sau khi trẻ quan sát và cần lời giải thích.</t>
  </si>
  <si>
    <t>TỰ THỬ: Cô đảo thứ tự yêu cầu hoặc cho người dùng bấm sai mã rồi đúng mã.</t>
  </si>
  <si>
    <t>Starter Kit Super; servo; keypad; siêu âm; LED/loa; motor quạt có lồng.
Bổ sung: Sa bàn; keypad; LED/servo.</t>
  </si>
  <si>
    <t>Ảnh/video: Mô hình hai chức năng đã chạy theo tình huống.. Kèm câu trẻ tự trả lời: “Khách đúng mã đến lúc phòng tối thì ngôi nhà làm gì trước?”</t>
  </si>
  <si>
    <t>GỢI NHỚ (2–4 phút): Những mô hình B1–B13. CÂU HỎI: Nếu nhà có trẻ nhỏ, con sẽ ưu tiên chức năng nào?</t>
  </si>
  <si>
    <t>LÀM NGAY: Nhóm chọn một câu chuyện “bếp, cửa, góc học”, vẽ 3 bước; build phiên bản tối thiểu.
GV chỉ giảng khái niệm sau khi trẻ quan sát và cần lời giải thích.</t>
  </si>
  <si>
    <t>TỰ THỬ: Cho người dùng thử và ghi điều chưa phù hợp, ưu tiên 1 sửa đổi.</t>
  </si>
  <si>
    <t>Starter Kit Super; servo; keypad; siêu âm; LED/loa; motor quạt có lồng.
Bổ sung: Sa bàn nhà; thẻ nhu cầu.</t>
  </si>
  <si>
    <t>Ảnh/video: Bản thiết kế + Smart Home V1.. Kèm câu trẻ tự trả lời: “Nếu nhà có trẻ nhỏ, con sẽ ưu tiên chức năng nào?”</t>
  </si>
  <si>
    <t>GỢI NHỚ (2–4 phút): B14 V1 và lỗi nhóm. CÂU HỎI: Khách thử không hiểu đèn đỏ của con: nên sửa điều gì?</t>
  </si>
  <si>
    <t>LÀM NGAY: Đổi nhóm kiểm thử; mỗi nhóm nhận 3 tình huống, sửa lỗi rồi thử lại tất cả.
GV chỉ giảng khái niệm sau khi trẻ quan sát và cần lời giải thích.</t>
  </si>
  <si>
    <t>TỰ THỬ: Trang trí bảng hướng dẫn sử dụng ngắn để khách tự thao tác.</t>
  </si>
  <si>
    <t>Starter Kit Super; servo; keypad; siêu âm; LED/loa; motor quạt có lồng.
Bổ sung: Bộ dự án nhóm; phiếu khách dùng.</t>
  </si>
  <si>
    <t>Ảnh/video: Ngôi nhà thông minh V2 + thẻ kiểm chứng.. Kèm câu trẻ tự trả lời: “Khách thử không hiểu đèn đỏ của con: nên sửa điều gì?”</t>
  </si>
  <si>
    <t>GỢI NHỚ (2–4 phút): Đoán chức năng theo biểu tượng. CÂU HỎI: Khách muốn thử nhà theo cách khác người thiết kế tưởng tượng.</t>
  </si>
  <si>
    <t>LÀM NGAY: Từng trẻ phụ trách 1 thao tác: mở cửa/điều khiển đèn/giải thích cảnh báo; khách đưa yêu cầu.
GV chỉ giảng khái niệm sau khi trẻ quan sát và cần lời giải thích.</t>
  </si>
  <si>
    <t>TỰ THỬ: Nêu một giới hạn của mô hình và một điều sẽ sửa khi có thêm thời gian.</t>
  </si>
  <si>
    <t>Starter Kit Super; servo; keypad; siêu âm; LED/loa; motor quạt có lồng.
Bổ sung: Góc triển lãm, mô hình, bảng quy tắc an toàn.</t>
  </si>
  <si>
    <t>Ảnh/video: Smart Home Expo V2 + video trình bày.. Kèm câu trẻ tự trả lời: “Khách muốn thử nhà theo cách khác người thiết kế tưởng tượng.”</t>
  </si>
  <si>
    <t>K04  |  MECHANICAL MAKER – XƯỞNG CƠ KHÍ  •  HỌC QUA LÀM THẬT</t>
  </si>
  <si>
    <t>Kiến thức chỉ giảng đúng lúc cần; mục tiêu: Mỗi cơ cấu được thử qua ít nhất hai tình huống; đặt câu hỏi lực/ma sát/góc khi robot hoạt động, không giảng công thức vật lý.</t>
  </si>
  <si>
    <t>Starter Kit Super; chi tiết cơ khí; motor; servo; vật xốp; thước; thảm thử.</t>
  </si>
  <si>
    <t>GỢI NHỚ (2–4 phút): K3: servo mở cửa đúng góc. CÂU HỎI: Vì sao bánh xe quay còn cánh cửa chỉ mở một góc?</t>
  </si>
  <si>
    <t>LÀM NGAY: Lắp motor trên đế an toàn, chạy thuận–dừng–ngược; gắn đĩa giấy quan sát dấu chấm chuyển động.
GV chỉ giảng khái niệm sau khi trẻ quan sát và cần lời giải thích.</t>
  </si>
  <si>
    <t>TỰ THỬ: Thử làm đĩa quay chậm hoặc nhanh hơn theo giới hạn GV.</t>
  </si>
  <si>
    <t>Starter Kit Super; chi tiết cơ khí; motor; servo; vật xốp; thước; thảm thử.
Bổ sung: Motor DC; đế lắp; đĩa giấy.</t>
  </si>
  <si>
    <t>Ảnh/video: Đĩa quay hai chiều trên đế.. Kèm câu trẻ tự trả lời: “Vì sao bánh xe quay còn cánh cửa chỉ mở một góc?”</t>
  </si>
  <si>
    <t>GỢI NHỚ (2–4 phút): K4 B1; servo K3. CÂU HỎI: Nếu muốn quay bánh xe và nâng thanh chắn, con chọn gì?</t>
  </si>
  <si>
    <t>LÀM NGAY: Cho 2 trạm motor/servo chạy; trẻ ghép nhiệm vụ “cánh cửa, quạt, barrier, vòng quay”.
GV chỉ giảng khái niệm sau khi trẻ quan sát và cần lời giải thích.</t>
  </si>
  <si>
    <t>TỰ THỬ: Thử đổi motor cho cơ cấu không phù hợp rồi giải thích vì sao khó.</t>
  </si>
  <si>
    <t>Starter Kit Super; chi tiết cơ khí; motor; servo; vật xốp; thước; thảm thử.
Bổ sung: Motor; servo; thẻ công việc.</t>
  </si>
  <si>
    <t>Ảnh/video: Bảng chọn cơ cấu và hai thử nghiệm.. Kèm câu trẻ tự trả lời: “Nếu muốn quay bánh xe và nâng thanh chắn, con chọn gì?”</t>
  </si>
  <si>
    <t>GỢI NHỚ (2–4 phút): K1: sự kiện và wait. CÂU HỎI: Làm sao tạo trò chơi chọn nhiệm vụ ngẫu nhiên cho cả lớp?</t>
  </si>
  <si>
    <t>LÀM NGAY: Lắp vòng quay giấy được cố định; dùng A chạy trong thời gian ngắn rồi dừng.
GV chỉ giảng khái niệm sau khi trẻ quan sát và cần lời giải thích.</t>
  </si>
  <si>
    <t>TỰ THỬ: Cho bạn tự thay thời gian; so nơi kim chỉ sau các lần quay.</t>
  </si>
  <si>
    <t>Starter Kit Super; chi tiết cơ khí; motor; servo; vật xốp; thước; thảm thử.
Bổ sung: Motor; đĩa giấy; thẻ nhiệm vụ.</t>
  </si>
  <si>
    <t>Ảnh/video: Vòng quay may mắn V1.. Kèm câu trẻ tự trả lời: “Làm sao tạo trò chơi chọn nhiệm vụ ngẫu nhiên cho cả lớp?”</t>
  </si>
  <si>
    <t>GỢI NHỚ (2–4 phút): B3 vòng quay và K1 random. CÂU HỎI: Vì sao hai vòng quay cùng code nhưng dừng ở chỗ khác?</t>
  </si>
  <si>
    <t>LÀM NGAY: Thử vòng quay có/không tải giấy, cùng thời gian; ghi 3 lần kết quả bằng sticker.
GV chỉ giảng khái niệm sau khi trẻ quan sát và cần lời giải thích.</t>
  </si>
  <si>
    <t>TỰ THỬ: Thay một yếu tố (giảm vật đính, chỉnh trục) để quay ổn hơn.</t>
  </si>
  <si>
    <t>Starter Kit Super; chi tiết cơ khí; motor; servo; vật xốp; thước; thảm thử.
Bổ sung: Đĩa giấy; sticker; vật nhẹ.</t>
  </si>
  <si>
    <t>Ảnh/video: Vòng quay V2 và bảng 3 thử nghiệm.. Kèm câu trẻ tự trả lời: “Vì sao hai vòng quay cùng code nhưng dừng ở chỗ khác?”</t>
  </si>
  <si>
    <t>GỢI NHỚ (2–4 phút): B1 chiều quay và Stop. CÂU HỎI: Cabin làm thế nào vượt qua thung lũng mà không có đường?</t>
  </si>
  <si>
    <t>LÀM NGAY: GV chuẩn bị khung/dây; nhóm lắp cabin giấy, điều khiển motor nâng/hạ ngắn và dừng ở ga.
GV chỉ giảng khái niệm sau khi trẻ quan sát và cần lời giải thích.</t>
  </si>
  <si>
    <t>TỰ THỬ: Đổi chiều để cabin về ga, so hành trình hai hướng.</t>
  </si>
  <si>
    <t>Starter Kit Super; chi tiết cơ khí; motor; servo; vật xốp; thước; thảm thử.
Bổ sung: Khung cáp treo; dây; motor; giấy.</t>
  </si>
  <si>
    <t>Ảnh/video: Cáp treo mini V1.. Kèm câu trẻ tự trả lời: “Cabin làm thế nào vượt qua thung lũng mà không có đường?”</t>
  </si>
  <si>
    <t>GỢI NHỚ (2–4 phút): B4 ma sát; B5 cáp treo. CÂU HỎI: Vì sao cabin chở nhiều đồ có lúc không lên được?</t>
  </si>
  <si>
    <t>LÀM NGAY: Cho cabin chở 1/2/3 khối xốp rất nhẹ; thử cùng quãng đường, đánh dấu điểm dừng.
GV chỉ giảng khái niệm sau khi trẻ quan sát và cần lời giải thích.</t>
  </si>
  <si>
    <t>TỰ THỬ: Thay vị trí treo cabin hoặc độ căng dây theo GV hướng dẫn; so hai lần.</t>
  </si>
  <si>
    <t>Starter Kit Super; chi tiết cơ khí; motor; servo; vật xốp; thước; thảm thử.
Bổ sung: Khối xốp; thước; cáp treo.</t>
  </si>
  <si>
    <t>Ảnh/video: Cáp treo V2 + nhật ký 3 thử.. Kèm câu trẻ tự trả lời: “Vì sao cabin chở nhiều đồ có lúc không lên được?”</t>
  </si>
  <si>
    <t>GỢI NHỚ (2–4 phút): Servo B2; thước B6. CÂU HỎI: Ném vật bằng tay và bằng máy có khác nhau không?</t>
  </si>
  <si>
    <t>LÀM NGAY: Lắp cơ cấu máy phóng bông mềm đã chuẩn hóa; thử góc thấp/trung bình, đo vùng rơi.
GV chỉ giảng khái niệm sau khi trẻ quan sát và cần lời giải thích.</t>
  </si>
  <si>
    <t>TỰ THỬ: Nhóm chọn một đích an toàn bằng giấy, làm sao vật rơi gần đích hơn.</t>
  </si>
  <si>
    <t>Starter Kit Super; chi tiết cơ khí; motor; servo; vật xốp; thước; thảm thử.
Bổ sung: Servo; bông mềm; vòng đích giấy.</t>
  </si>
  <si>
    <t>Ảnh/video: Máy phóng bông mềm V1.. Kèm câu trẻ tự trả lời: “Ném vật bằng tay và bằng máy có khác nhau không?”</t>
  </si>
  <si>
    <t>GỢI NHỚ (2–4 phút): B7 phóng mềm. CÂU HỎI: Bạn A đổi cả vật và góc thì ta biết lý do bay xa không?</t>
  </si>
  <si>
    <t>LÀM NGAY: Giữ cùng bông và vị trí; thử 3 góc, đánh dấu điểm chạm bằng sticker.
GV chỉ giảng khái niệm sau khi trẻ quan sát và cần lời giải thích.</t>
  </si>
  <si>
    <t>TỰ THỬ: Chọn góc để bắn trúng vòng đích thay vì chỉ xa nhất.</t>
  </si>
  <si>
    <t>Starter Kit Super; chi tiết cơ khí; motor; servo; vật xốp; thước; thảm thử.
Bổ sung: Thước/vạch; bông mềm; sticker.</t>
  </si>
  <si>
    <t>Ảnh/video: Máy phóng V2 trúng vùng đích.. Kèm câu trẻ tự trả lời: “Bạn A đổi cả vật và góc thì ta biết lý do bay xa không?”</t>
  </si>
  <si>
    <t>GỢI NHỚ (2–4 phút): B4 vòng quay; B6 ma sát. CÂU HỎI: Vì sao một con cào cào có thể nhảy mà bánh xe chỉ lăn?</t>
  </si>
  <si>
    <t>LÀM NGAY: Lắp robot cào cào theo kit, thử quãng 50 cm trên thảm thử có biên.
GV chỉ giảng khái niệm sau khi trẻ quan sát và cần lời giải thích.</t>
  </si>
  <si>
    <t>TỰ THỬ: Vẽ dấu chân và nêu bộ phận nào đẩy robot đi.</t>
  </si>
  <si>
    <t>Starter Kit Super; chi tiết cơ khí; motor; servo; vật xốp; thước; thảm thử.
Bổ sung: Chi tiết cơ khí; motor; đường chạy.</t>
  </si>
  <si>
    <t>Ảnh/video: Robot cào cào V1.. Kèm câu trẻ tự trả lời: “Vì sao một con cào cào có thể nhảy mà bánh xe chỉ lăn?”</t>
  </si>
  <si>
    <t>GỢI NHỚ (2–4 phút): B9: chân chạm sàn; B8 bảng thử. CÂU HỎI: Vì sao cào cào nhóm con hay xoay tròn thay vì đi thẳng?</t>
  </si>
  <si>
    <t>LÀM NGAY: Thử robot V1 ba lượt; sửa hướng chân hoặc điểm tỳ được GV duyệt; thử lại cùng đường.
GV chỉ giảng khái niệm sau khi trẻ quan sát và cần lời giải thích.</t>
  </si>
  <si>
    <t>TỰ THỬ: Thi vui “đi thẳng” hoặc “đi đều”, không chỉ chạy nhanh nhất.</t>
  </si>
  <si>
    <t>Starter Kit Super; chi tiết cơ khí; motor; servo; vật xốp; thước; thảm thử.
Bổ sung: Đường thử; thước; băng dính.</t>
  </si>
  <si>
    <t>Ảnh/video: Robot cào cào V2 + bảng trước–sau.. Kèm câu trẻ tự trả lời: “Vì sao cào cào nhóm con hay xoay tròn thay vì đi thẳng?”</t>
  </si>
  <si>
    <t>GỢI NHỚ (2–4 phút): B10 đổi cơ cấu, K1 lặp. CÂU HỎI: Sâu không có bánh xe mà vẫn đi thế nào?</t>
  </si>
  <si>
    <t>LÀM NGAY: GV chuẩn bị phần khung phức tạp nếu cần; trẻ hoàn thiện một cơ cấu co–duỗi và cho chạy chu kỳ ngắn.
GV chỉ giảng khái niệm sau khi trẻ quan sát và cần lời giải thích.</t>
  </si>
  <si>
    <t>TỰ THỬ: Thử nhịp chậm/nhanh, giải thích khi nào robot di chuyển ổn.</t>
  </si>
  <si>
    <t>Starter Kit Super; chi tiết cơ khí; motor; servo; vật xốp; thước; thảm thử.
Bổ sung: Mẫu sinh vật; cơ cấu chuẩn hóa.</t>
  </si>
  <si>
    <t>Ảnh/video: Robot sâu đo mô phỏng chu kỳ.. Kèm câu trẻ tự trả lời: “Sâu không có bánh xe mà vẫn đi thế nào?”</t>
  </si>
  <si>
    <t>GỢI NHỚ (2–4 phút): B11 cơ cấu; K3 servo. CÂU HỎI: Vì sao khi kéo một sợi dây, ngón tay có thể co lại?</t>
  </si>
  <si>
    <t>LÀM NGAY: Làm mẫu ngón tay giấy trước; ghép 1–2 ngón với dây/servo có giới hạn góc.
GV chỉ giảng khái niệm sau khi trẻ quan sát và cần lời giải thích.</t>
  </si>
  <si>
    <t>TỰ THỬ: Thử thay chiều dài dây để ngón gập hơn nhưng không kẹt.</t>
  </si>
  <si>
    <t>Starter Kit Super; chi tiết cơ khí; motor; servo; vật xốp; thước; thảm thử.
Bổ sung: Giấy bìa; dây; servo; mẫu tay.</t>
  </si>
  <si>
    <t>Ảnh/video: Bàn tay mô phỏng 1–2 ngón.. Kèm câu trẻ tự trả lời: “Vì sao khi kéo một sợi dây, ngón tay có thể co lại?”</t>
  </si>
  <si>
    <t>GỢI NHỚ (2–4 phút): B12 ngón tay và dây. CÂU HỎI: Bàn tay gập được nhưng làm rơi quả bóng giấy thì sao?</t>
  </si>
  <si>
    <t>LÀM NGAY: Cho bàn tay giữ bóng xốp/hộp giấy; thử 2 kích thước vật, thay góc hoặc lớp đệm.
GV chỉ giảng khái niệm sau khi trẻ quan sát và cần lời giải thích.</t>
  </si>
  <si>
    <t>TỰ THỬ: So vật giữ được trước–sau và giải thích vì sao.</t>
  </si>
  <si>
    <t>Starter Kit Super; chi tiết cơ khí; motor; servo; vật xốp; thước; thảm thử.
Bổ sung: Bóng xốp; đệm mút; servo.</t>
  </si>
  <si>
    <t>Ảnh/video: Bàn tay cơ khí V2.. Kèm câu trẻ tự trả lời: “Bàn tay gập được nhưng làm rơi quả bóng giấy thì sao?”</t>
  </si>
  <si>
    <t>GỢI NHỚ (2–4 phút): Motor B1; cân bằng B13. CÂU HỎI: Vì sao thuyền chở lệch một bên dễ bị nghiêng?</t>
  </si>
  <si>
    <t>LÀM NGAY: GV chuẩn bị thuyền/motor với khoang điện được cô lập; trẻ đặt vật nhẹ, dự đoán và thử dưới giám sát.
GV chỉ giảng khái niệm sau khi trẻ quan sát và cần lời giải thích.</t>
  </si>
  <si>
    <t>TỰ THỬ: Đổi vị trí tải để thuyền đi thẳng hơn; đo bằng vạch trên khay.</t>
  </si>
  <si>
    <t>Starter Kit Super; chi tiết cơ khí; motor; servo; vật xốp; thước; thảm thử.
Bổ sung: Thuyền mô hình; khay nước; tải xốp.</t>
  </si>
  <si>
    <t>Ảnh/video: Thuyền điện mô hình thử trên khay có bảo vệ.. Kèm câu trẻ tự trả lời: “Vì sao thuyền chở lệch một bên dễ bị nghiêng?”</t>
  </si>
  <si>
    <t>GỢI NHỚ (2–4 phút): B3 vòng quay; B5 cáp; B9 cào cào. CÂU HỎI: Cô đưa nhiệm vụ nâng, quay hoặc đẩy một vật nhẹ: làm máy gì?</t>
  </si>
  <si>
    <t>LÀM NGAY: Nhóm chọn nhiệm vụ, làm bản phác và dùng linh kiện để lắp V1; chạy 2 lần và ghi lỗi.
GV chỉ giảng khái niệm sau khi trẻ quan sát và cần lời giải thích.</t>
  </si>
  <si>
    <t>TỰ THỬ: Đổi một chi tiết để V2 thực hiện ổn định hơn.</t>
  </si>
  <si>
    <t>Starter Kit Super; chi tiết cơ khí; motor; servo; vật xốp; thước; thảm thử.
Bổ sung: 300+ chi tiết; thẻ nhiệm vụ.</t>
  </si>
  <si>
    <t>Ảnh/video: Máy cơ khí V2 cho nhiệm vụ tự chọn.. Kèm câu trẻ tự trả lời: “Cô đưa nhiệm vụ nâng, quay hoặc đẩy một vật nhẹ: làm máy gì?”</t>
  </si>
  <si>
    <t>GỢI NHỚ (2–4 phút): Đoán bộ phận quay của sản phẩm bạn. CÂU HỎI: Khách thử máy và hỏi vì sao nó di chuyển như vậy.</t>
  </si>
  <si>
    <t>LÀM NGAY: Các nhóm trình bày máy V2 tại khu an toàn; cho khách thử dưới giám sát, nêu quy tắc sử dụng.
GV chỉ giảng khái niệm sau khi trẻ quan sát và cần lời giải thích.</t>
  </si>
  <si>
    <t>TỰ THỬ: Nếu máy hoạt động khác do thay vật/tải, trẻ đề xuất hướng sửa.</t>
  </si>
  <si>
    <t>Starter Kit Super; chi tiết cơ khí; motor; servo; vật xốp; thước; thảm thử.
Bổ sung: Đường thử; trạm minh chứng; mẫu V1/V2.</t>
  </si>
  <si>
    <t>Ảnh/video: Engineering Games: máy chuyển động an toàn.. Kèm câu trẻ tự trả lời: “Khách thử máy và hỏi vì sao nó di chuyển như vậy.”</t>
  </si>
  <si>
    <t>K05  |  ROBOTICS ENGINEER  •  HỌC QUA LÀM THẬT</t>
  </si>
  <si>
    <t>Tiếp nối Rio • 8–11 tuổi • 16 buổi × 90 phút linh hoạt • Khái niệm xuất hiện ngay trong sản phẩm • Thử – sửa – làm lại</t>
  </si>
  <si>
    <t>Kiến thức chỉ giảng đúng lúc cần; mục tiêu: Giữ nguyên một chassis để tăng dần năng lực: đi đúng→giao hàng→điều khiển→nhận vật cản→né→gắp; không tháo lắp lại toàn bộ mỗi buổi.</t>
  </si>
  <si>
    <t>Starter Kit Super; chassis hai bánh; siêu âm; servo/gripper; sa bàn; vật cản mềm.</t>
  </si>
  <si>
    <t>GỢI NHỚ (2–4 phút): K4 motor và lắp cơ khí. CÂU HỎI: Rio đi trên sa bàn, robot tự lắp cần bộ phận nào để đi?</t>
  </si>
  <si>
    <t>LÀM NGAY: Nhóm lắp khung xe hai bánh và kiểm tra motor quay tự do; chạy tốc độ thấp mỗi bánh độc lập.
GV chỉ giảng khái niệm sau khi trẻ quan sát và cần lời giải thích.</t>
  </si>
  <si>
    <t>TỰ THỬ: Mời bạn kiểm tra “thiếu gì để an toàn khi chạy?”.</t>
  </si>
  <si>
    <t>Starter Kit Super; chassis hai bánh; siêu âm; servo/gripper; sa bàn; vật cản mềm.
Bổ sung: Khung; 2 motor; bánh xe; nguồn đã duyệt.</t>
  </si>
  <si>
    <t>Ảnh/video: Chassis robot hai bánh an toàn.. Kèm câu trẻ tự trả lời: “Rio đi trên sa bàn, robot tự lắp cần bộ phận nào để đi?”</t>
  </si>
  <si>
    <t>GỢI NHỚ (2–4 phút): Rio: trái/phải; K4 chiều motor. CÂU HỎI: Khi một bánh quay khác bánh còn lại thì chuyện gì xảy ra?</t>
  </si>
  <si>
    <t>LÀM NGAY: Tạo 4 thẻ hành động và code 4 lệnh thử trên nền phẳng theo tốc độ an toàn.
GV chỉ giảng khái niệm sau khi trẻ quan sát và cần lời giải thích.</t>
  </si>
  <si>
    <t>TỰ THỬ: Bạn đọc lệnh bí mật, nhóm chạy robot đến hướng mong muốn.</t>
  </si>
  <si>
    <t>Starter Kit Super; chassis hai bánh; siêu âm; servo/gripper; sa bàn; vật cản mềm.
Bổ sung: Sa bàn 1m; thẻ lệnh.</t>
  </si>
  <si>
    <t>Ảnh/video: Robot tiến, lùi và quay trên thảm.. Kèm câu trẻ tự trả lời: “Khi một bánh quay khác bánh còn lại thì chuyện gì xảy ra?”</t>
  </si>
  <si>
    <t>GỢI NHỚ (2–4 phút): B2 tiến thẳng bằng 2 motor. CÂU HỎI: Hai bánh có quay giống nhau nhưng xe vẫn lệch không?</t>
  </si>
  <si>
    <t>LÀM NGAY: Kẻ vạch đích; chạy 3 lượt cùng thời gian, đánh dấu lệch; thử chỉnh một motor.
GV chỉ giảng khái niệm sau khi trẻ quan sát và cần lời giải thích.</t>
  </si>
  <si>
    <t>TỰ THỬ: Nhóm thử “mắt nhắm đoán” robot sẽ lệch bên nào trước khi chạy.</t>
  </si>
  <si>
    <t>Starter Kit Super; chassis hai bánh; siêu âm; servo/gripper; sa bàn; vật cản mềm.
Bổ sung: Băng dính vạch; thước; bảng thử.</t>
  </si>
  <si>
    <t>Ảnh/video: Robot chạy thẳng V2 và vạch trước–sau.. Kèm câu trẻ tự trả lời: “Hai bánh có quay giống nhau nhưng xe vẫn lệch không?”</t>
  </si>
  <si>
    <t>GỢI NHỚ (2–4 phút): B3 chạy thẳng; Rio chuỗi lệnh. CÂU HỎI: Làm sao giao hàng mà không đụng trạm?</t>
  </si>
  <si>
    <t>LÀM NGAY: Dùng 3 ô mốc trên thảm; lập chuỗi tiến→dừng→quay; đo quãng dừng.
GV chỉ giảng khái niệm sau khi trẻ quan sát và cần lời giải thích.</t>
  </si>
  <si>
    <t>TỰ THỬ: Thêm một góc cua; nhóm tìm cách chạy ổn định khi chở hộp xốp.</t>
  </si>
  <si>
    <t>Starter Kit Super; chassis hai bánh; siêu âm; servo/gripper; sa bàn; vật cản mềm.
Bổ sung: Thảm mốc; hộp xốp.</t>
  </si>
  <si>
    <t>Ảnh/video: Robot giao hàng tuyến ngắn.. Kèm câu trẻ tự trả lời: “Làm sao giao hàng mà không đụng trạm?”</t>
  </si>
  <si>
    <t>GỢI NHỚ (2–4 phút): K1 nút A/B; K5 B2 điều khiển motor. CÂU HỎI: Robot có thể nghe tín hiệu từ người lái thế nào?</t>
  </si>
  <si>
    <t>LÀM NGAY: GV cấu hình kết nối phù hợp thiết bị; trẻ map 4 hướng, thử đường rộng có biên.
GV chỉ giảng khái niệm sau khi trẻ quan sát và cần lời giải thích.</t>
  </si>
  <si>
    <t>TỰ THỬ: Đổi vai tài xế–giám sát an toàn, thêm quy tắc giảm tốc ở góc cua.</t>
  </si>
  <si>
    <t>Starter Kit Super; chassis hai bánh; siêu âm; servo/gripper; sa bàn; vật cản mềm.
Bổ sung: App/gamepad tương thích; thảm.</t>
  </si>
  <si>
    <t>Ảnh/video: Robot điều khiển từ xa cơ bản.. Kèm câu trẻ tự trả lời: “Robot có thể nghe tín hiệu từ người lái thế nào?”</t>
  </si>
  <si>
    <t>GỢI NHỚ (2–4 phút): B4 tuyến giao hàng; B5 remote. CÂU HỎI: Robot chở 1 cục hàng khác chở 3 cục thế nào?</t>
  </si>
  <si>
    <t>LÀM NGAY: Làm khay hàng xốp nhẹ, thử tuyến có 2 cua với một hộp; đổi vị trí tải và thử lại.
GV chỉ giảng khái niệm sau khi trẻ quan sát và cần lời giải thích.</t>
  </si>
  <si>
    <t>TỰ THỬ: Người quan sát đánh dấu lúc hàng nghiêng; nhóm chỉnh trọng tâm chứ không chỉ tăng tốc.</t>
  </si>
  <si>
    <t>Starter Kit Super; chassis hai bánh; siêu âm; servo/gripper; sa bàn; vật cản mềm.
Bổ sung: Khay hàng; hộp xốp; băng dính.</t>
  </si>
  <si>
    <t>Ảnh/video: Robot vận chuyển V2 + bảng 3 lượt.. Kèm câu trẻ tự trả lời: “Robot chở 1 cục hàng khác chở 3 cục thế nào?”</t>
  </si>
  <si>
    <t>GỢI NHỚ (2–4 phút): K2 thước đo siêu âm và ngưỡng. CÂU HỎI: Xe có thể biết hộp ở trước mặt mà không chạm không?</t>
  </si>
  <si>
    <t>LÀM NGAY: Gắn sensor cố định; dùng chương trình K2 hiển thị gần/xa và đưa vật ra trước robot.
GV chỉ giảng khái niệm sau khi trẻ quan sát và cần lời giải thích.</t>
  </si>
  <si>
    <t>TỰ THỬ: Thử đặt vật thấp/cao, nêu góc robot nhìn “khó thấy”.</t>
  </si>
  <si>
    <t>Starter Kit Super; chassis hai bánh; siêu âm; servo/gripper; sa bàn; vật cản mềm.
Bổ sung: Siêu âm; giá đỡ; hộp mút.</t>
  </si>
  <si>
    <t>Ảnh/video: Robot đọc cảm biến vật cản.. Kèm câu trẻ tự trả lời: “Xe có thể biết hộp ở trước mặt mà không chạm không?”</t>
  </si>
  <si>
    <t>GỢI NHỚ (2–4 phút): B7 cảm biến, B2 quay bánh. CÂU HỎI: Tài xế đang bận: robot có thể tự tránh hộp không?</t>
  </si>
  <si>
    <t>LÀM NGAY: Trẻ sửa từ chương trình đi thẳng: thêm điều kiện khoảng cách và lệnh dừng/rẽ, chạy ở tốc độ thấp.
GV chỉ giảng khái niệm sau khi trẻ quan sát và cần lời giải thích.</t>
  </si>
  <si>
    <t>TỰ THỬ: Thử hai vị trí vật cản; điều chỉnh vạch từ bảng khoảng cách thực.</t>
  </si>
  <si>
    <t>Starter Kit Super; chassis hai bánh; siêu âm; servo/gripper; sa bàn; vật cản mềm.
Bổ sung: Hộp mút; robot hai bánh.</t>
  </si>
  <si>
    <t>Ảnh/video: Robot né vật V1.. Kèm câu trẻ tự trả lời: “Tài xế đang bận: robot có thể tự tránh hộp không?”</t>
  </si>
  <si>
    <t>GỢI NHỚ (2–4 phút): B8 nếu gần thì rẽ. CÂU HỎI: Robot cứ rẽ phải nhưng kẹt góc, con có cách khác không?</t>
  </si>
  <si>
    <t>LÀM NGAY: Dùng hộp mút dựng hành lang; quan sát trường hợp kẹt rồi chỉnh thời gian/quy tắc rẽ hoặc lùi ngắn.
GV chỉ giảng khái niệm sau khi trẻ quan sát và cần lời giải thích.</t>
  </si>
  <si>
    <t>TỰ THỬ: Chọn 1 trong 2 phương án cải tiến, so lượt thoát trước–sau.</t>
  </si>
  <si>
    <t>Starter Kit Super; chassis hai bánh; siêu âm; servo/gripper; sa bàn; vật cản mềm.
Bổ sung: Sa bàn hộp mút; thẻ kịch bản.</t>
  </si>
  <si>
    <t>Ảnh/video: Robot né vật V2 đã qua hai sa bàn.. Kèm câu trẻ tự trả lời: “Robot cứ rẽ phải nhưng kẹt góc, con có cách khác không?”</t>
  </si>
  <si>
    <t>GỢI NHỚ (2–4 phút): B4, B5, B8, B9. CÂU HỎI: Có đoạn đường nhiều người, có đoạn trống: nên dùng chế độ nào?</t>
  </si>
  <si>
    <t>LÀM NGAY: Thiết lập tuyến hai khu: người lái đoạn đầu, robot tự né vật đoạn sau; thay phiên từng vai.
GV chỉ giảng khái niệm sau khi trẻ quan sát và cần lời giải thích.</t>
  </si>
  <si>
    <t>TỰ THỬ: Nhóm khác đổi chướng ngại, nhóm sửa một phần điều khiển và kiểm tra lại.</t>
  </si>
  <si>
    <t>Starter Kit Super; chassis hai bánh; siêu âm; servo/gripper; sa bàn; vật cản mềm.
Bổ sung: Thảm; hộp mút; khay đồ.</t>
  </si>
  <si>
    <t>Ảnh/video: Robot cứu trợ thử nghiệm hai chế độ.. Kèm câu trẻ tự trả lời: “Có đoạn đường nhiều người, có đoạn trống: nên dùng chế độ nào?”</t>
  </si>
  <si>
    <t>GỢI NHỚ (2–4 phút): K4 bàn tay mô phỏng; K3 servo. CÂU HỎI: Robot có thể cầm hộp mà không dùng tay người?</t>
  </si>
  <si>
    <t>LÀM NGAY: GV chuẩn bị phần khung kẹp phức tạp; nhóm gắn servo, giới hạn góc, gắp bóng xốp.
GV chỉ giảng khái niệm sau khi trẻ quan sát và cần lời giải thích.</t>
  </si>
  <si>
    <t>TỰ THỬ: Thử 2 kích thước vật, điều chỉnh góc để không làm rơi/vướng.</t>
  </si>
  <si>
    <t>Starter Kit Super; chassis hai bánh; siêu âm; servo/gripper; sa bàn; vật cản mềm.
Bổ sung: Servo; tay kẹp; bóng xốp.</t>
  </si>
  <si>
    <t>Ảnh/video: Gripper gắp được vật nhẹ.. Kèm câu trẻ tự trả lời: “Robot có thể cầm hộp mà không dùng tay người?”</t>
  </si>
  <si>
    <t>GỢI NHỚ (2–4 phút): B4 giao hàng; B11 gripper. CÂU HỎI: Làm sao robot đến vật, dừng rồi mới nhặt?</t>
  </si>
  <si>
    <t>LÀM NGAY: Thử tuyến ngắn: di chuyển chậm→dừng→đóng gripper→lùi; không thêm sensor nếu không cần.
GV chỉ giảng khái niệm sau khi trẻ quan sát và cần lời giải thích.</t>
  </si>
  <si>
    <t>TỰ THỬ: Thay vật mới nhẹ hơn/nặng hơn để tìm góc kẹp tốt.</t>
  </si>
  <si>
    <t>Starter Kit Super; chassis hai bánh; siêu âm; servo/gripper; sa bàn; vật cản mềm.
Bổ sung: Robot; gripper; vật xốp.</t>
  </si>
  <si>
    <t>Ảnh/video: Robot nhặt vật V1.. Kèm câu trẻ tự trả lời: “Làm sao robot đến vật, dừng rồi mới nhặt?”</t>
  </si>
  <si>
    <t>GỢI NHỚ (2–4 phút): B12 robot nhặt vật; B3 hiệu chỉnh. CÂU HỎI: Robot nhặt được nhưng đặt nhầm kho thì người dùng có hài lòng?</t>
  </si>
  <si>
    <t>LÀM NGAY: Vẽ tuyến 3 bước, thử có/không cầm hàng; chọn chỗ dừng an toàn và kiểm tra.
GV chỉ giảng khái niệm sau khi trẻ quan sát và cần lời giải thích.</t>
  </si>
  <si>
    <t>TỰ THỬ: Thêm một khúc cua, sửa đoạn riêng đang gây lỗi.</t>
  </si>
  <si>
    <t>Starter Kit Super; chassis hai bánh; siêu âm; servo/gripper; sa bàn; vật cản mềm.
Bổ sung: Hai khu đích, hộp xốp.</t>
  </si>
  <si>
    <t>Ảnh/video: Robot vận chuyển hai trạm.. Kèm câu trẻ tự trả lời: “Robot nhặt được nhưng đặt nhầm kho thì người dùng có hài lòng?”</t>
  </si>
  <si>
    <t>GỢI NHỚ (2–4 phút): B4/B9/B13: giao hàng, né vật, gắp. CÂU HỎI: Có đồ tiếp tế ở bên kia “đường hỏng”: nhóm sẽ cứu trợ thế nào?</t>
  </si>
  <si>
    <t>LÀM NGAY: Nhóm chọn phương án tuyến, sensor và có/không tay kẹp; mô tả lộ trình với thẻ, chạy một phiên bản ngắn.
GV chỉ giảng khái niệm sau khi trẻ quan sát và cần lời giải thích.</t>
  </si>
  <si>
    <t>TỰ THỬ: GV đặt lỗi hoặc thêm vật cản; nhóm chỉnh lại một đoạn.</t>
  </si>
  <si>
    <t>Starter Kit Super; chassis hai bánh; siêu âm; servo/gripper; sa bàn; vật cản mềm.
Bổ sung: Sa bàn lớn; hộp an toàn.</t>
  </si>
  <si>
    <t>Ảnh/video: Robot cứu hộ V1 + phác thảo nhiệm vụ.. Kèm câu trẻ tự trả lời: “Có đồ tiếp tế ở bên kia “đường hỏng”: nhóm sẽ cứu trợ thế nào?”</t>
  </si>
  <si>
    <t>GỢI NHỚ (2–4 phút): B14 robot cứu hộ V1. CÂU HỎI: Robot giỏi 1 lần nhưng hỏng 2 lần: thế có tốt không?</t>
  </si>
  <si>
    <t>LÀM NGAY: Nhóm khác dùng test card 3 tình huống; đội xây sửa một chỗ, kiểm thử lại đủ 3.
GV chỉ giảng khái niệm sau khi trẻ quan sát và cần lời giải thích.</t>
  </si>
  <si>
    <t>TỰ THỬ: Tối ưu tốc độ hoặc chỗ đặt sensor nhưng giữ độ an toàn.</t>
  </si>
  <si>
    <t>Starter Kit Super; chassis hai bánh; siêu âm; servo/gripper; sa bàn; vật cản mềm.
Bổ sung: Thẻ thử; vật xốp; thước.</t>
  </si>
  <si>
    <t>Ảnh/video: Robot cứu hộ V2 + phiếu test.. Kèm câu trẻ tự trả lời: “Robot giỏi 1 lần nhưng hỏng 2 lần: thế có tốt không?”</t>
  </si>
  <si>
    <t>GỢI NHỚ (2–4 phút): Đố bạn robot dùng sensor nào. CÂU HỎI: Khách thay vị trí đồ cần giao, robot sẽ xử lý ra sao?</t>
  </si>
  <si>
    <t>LÀM NGAY: Chạy trạm di chuyển, né vật và gắp/chở, mỗi thành viên vận hành một phần.
GV chỉ giảng khái niệm sau khi trẻ quan sát và cần lời giải thích.</t>
  </si>
  <si>
    <t>TỰ THỬ: Tự nhận xét một hạn chế và đề xuất nâng cấp K6.</t>
  </si>
  <si>
    <t>Starter Kit Super; chassis hai bánh; siêu âm; servo/gripper; sa bàn; vật cản mềm.
Bổ sung: Sân thi; đồ an toàn; bảng kết quả.</t>
  </si>
  <si>
    <t>Ảnh/video: Robot Olympics và nhật ký thay đổi V1→V2.. Kèm câu trẻ tự trả lời: “Khách thay vị trí đồ cần giao, robot sẽ xử lý ra sao?”</t>
  </si>
  <si>
    <t>K06  |  INVENTOR LAB – NHÀ SÁNG CHẾ  •  HỌC QUA LÀM THẬT</t>
  </si>
  <si>
    <t>Tiếp nối Rio • 9–12 tuổi • 16 buổi × 90 phút linh hoạt • Khái niệm xuất hiện ngay trong sản phẩm • Thử – sửa – làm lại</t>
  </si>
  <si>
    <t>Kiến thức chỉ giảng đúng lúc cần; mục tiêu: Làm prototype ngay B1, không học nhiều buổi lý thuyết về design thinking; sơ đồ, dữ liệu và cải tiến chỉ xuất hiện khi sản phẩm cần.</t>
  </si>
  <si>
    <t>Toàn bộ Starter Kit Super + vật liệu giấy, nhựa, xốp an toàn.</t>
  </si>
  <si>
    <t>GỢI NHỚ (2–4 phút): Nhìn lại các sản phẩm K1–K5. CÂU HỎI: Ở lớp có điều gì khiến con mất thời gian hoặc quên làm?</t>
  </si>
  <si>
    <t>LÀM NGAY: Nhóm chọn báo hoàn thành/báo gần/công tắc đèn; lắp prototype đơn giản 20 phút trước khi viết ý tưởng.
GV chỉ giảng khái niệm sau khi trẻ quan sát và cần lời giải thích.</t>
  </si>
  <si>
    <t>TỰ THỬ: Đổi người dùng, quan sát họ thao tác rồi sửa một chi tiết.</t>
  </si>
  <si>
    <t>Toàn bộ Starter Kit Super + vật liệu giấy, nhựa, xốp an toàn.
Bổ sung: Kit cơ bản; thẻ tình huống.</t>
  </si>
  <si>
    <t>Ảnh/video: Prototype “giải quyết rắc rối” + ảnh trước–sau.. Kèm câu trẻ tự trả lời: “Ở lớp có điều gì khiến con mất thời gian hoặc quên làm?”</t>
  </si>
  <si>
    <t>GỢI NHỚ (2–4 phút): K2 chậu cây; K1 nút nhấn. CÂU HỎI: Quên tưới cây có thể giải quyết bằng cách nào ngoài máy bơm?</t>
  </si>
  <si>
    <t>LÀM NGAY: Đội thử hai ý: nhắc bằng đèn/nút và báo đất khô bằng sensor; so 3 tình huống.
GV chỉ giảng khái niệm sau khi trẻ quan sát và cần lời giải thích.</t>
  </si>
  <si>
    <t>TỰ THỬ: Cho bạn thử, chọn giải pháp vừa đủ, không nhất thiết nhiều module.</t>
  </si>
  <si>
    <t>Toàn bộ Starter Kit Super + vật liệu giấy, nhựa, xốp an toàn.
Bổ sung: Cốc đất khô; sensor ẩm; LED.</t>
  </si>
  <si>
    <t>Ảnh/video: Hai mini-prototype cho một vấn đề.. Kèm câu trẻ tự trả lời: “Quên tưới cây có thể giải quyết bằng cách nào ngoài máy bơm?”</t>
  </si>
  <si>
    <t>GỢI NHỚ (2–4 phút): K5 robot/servo và K1 nút. CÂU HỎI: Đèn không sáng: do nút, chương trình hay LED?</t>
  </si>
  <si>
    <t>LÀM NGAY: GV chuẩn bị 3 hộp thiết bị có một lỗi đơn giản; nhóm kiểm tra đầu vào, lệnh, đầu ra theo bảng hình.
GV chỉ giảng khái niệm sau khi trẻ quan sát và cần lời giải thích.</t>
  </si>
  <si>
    <t>TỰ THỬ: Nhóm sửa và giải thích cho nhóm khác; đề xuất cách kiểm tra nhanh hơn.</t>
  </si>
  <si>
    <t>Toàn bộ Starter Kit Super + vật liệu giấy, nhựa, xốp an toàn.
Bổ sung: Hộp module mẫu; checklist 3 khối.</t>
  </si>
  <si>
    <t>Ảnh/video: Phiếu “bác sĩ sản phẩm” và thiết bị chạy lại.. Kèm câu trẻ tự trả lời: “Đèn không sáng: do nút, chương trình hay LED?”</t>
  </si>
  <si>
    <t>GỢI NHỚ (2–4 phút): B1/B2 mini prototype. CÂU HỎI: Khách cầm sản phẩm nhưng không biết bấm nút nào: lỗi của ai?</t>
  </si>
  <si>
    <t>LÀM NGAY: Trao sản phẩm B1/B2; người dùng thử mà không nhận hướng dẫn; đội ghi lại một khó khăn.
GV chỉ giảng khái niệm sau khi trẻ quan sát và cần lời giải thích.</t>
  </si>
  <si>
    <t>TỰ THỬ: Thêm biểu tượng, âm báo hoặc đổi màu rồi thử với người mới.</t>
  </si>
  <si>
    <t>Toàn bộ Starter Kit Super + vật liệu giấy, nhựa, xốp an toàn.
Bổ sung: Sticker; thẻ thử.</t>
  </si>
  <si>
    <t>Ảnh/video: Mini prototype dễ dùng V2.. Kèm câu trẻ tự trả lời: “Khách cầm sản phẩm nhưng không biết bấm nút nào: lỗi của ai?”</t>
  </si>
  <si>
    <t>GỢI NHỚ (2–4 phút): B1–B4; K1–K5 linh kiện cũ. CÂU HỎI: Nếu cô đổi yêu cầu giữa chừng, con sửa bộ phận nào?</t>
  </si>
  <si>
    <t>LÀM NGAY: 3 trạm chọn 2: đèn theo nút; cảm biến báo gần; motor dừng theo thời gian; bé tự điều chỉnh 1 lệnh.
GV chỉ giảng khái niệm sau khi trẻ quan sát và cần lời giải thích.</t>
  </si>
  <si>
    <t>TỰ THỬ: Nhận thêm yêu cầu phụ, giải thích vì sao chọn cách sửa.</t>
  </si>
  <si>
    <t>Toàn bộ Starter Kit Super + vật liệu giấy, nhựa, xốp an toàn.
Bổ sung: Thẻ thử; kit an toàn ở mỗi trạm.</t>
  </si>
  <si>
    <t>Ảnh/video: Hai nhiệm vụ thực hành và phiếu năng lực.. Kèm câu trẻ tự trả lời: “Nếu cô đổi yêu cầu giữa chừng, con sửa bộ phận nào?”</t>
  </si>
  <si>
    <t>GỢI NHỚ (2–4 phút): B5 chọn module phù hợp. CÂU HỎI: Nhóm muốn xây robot thật lớn nhưng chỉ có vài buổi: ta làm gì trước?</t>
  </si>
  <si>
    <t>LÀM NGAY: Nhóm thảo luận và chọn một trong 3 nhóm: lớp học, nhà/vườn, vận chuyển; thử module khó nhất trước.
GV chỉ giảng khái niệm sau khi trẻ quan sát và cần lời giải thích.</t>
  </si>
  <si>
    <t>TỰ THỬ: Giảm bớt chức năng không cần thiết; chốt 2 việc sản phẩm phải làm.</t>
  </si>
  <si>
    <t>Toàn bộ Starter Kit Super + vật liệu giấy, nhựa, xốp an toàn.
Bổ sung: Thẻ chủ đề; kit Super.</t>
  </si>
  <si>
    <t>Ảnh/video: Phiếu dự án 1 trang + mini prototype.. Kèm câu trẻ tự trả lời: “Nhóm muốn xây robot thật lớn nhưng chỉ có vài buổi: ta làm gì trước?”</t>
  </si>
  <si>
    <t>GỢI NHỚ (2–4 phút): B6 prototype đang chạy. CÂU HỎI: Nếu sản phẩm đứng yên, chúng mình phải kiểm tra đoạn nào trước?</t>
  </si>
  <si>
    <t>LÀM NGAY: Nhóm dán thẻ sensor/controller/output lên bảng và nối mũi tên từ mô hình; tiếp tục chạy một khối.
GV chỉ giảng khái niệm sau khi trẻ quan sát và cần lời giải thích.</t>
  </si>
  <si>
    <t>TỰ THỬ: Nhóm khác nhìn sơ đồ đoán tác dụng; sửa mũi tên/thẻ gây hiểu nhầm.</t>
  </si>
  <si>
    <t>Toàn bộ Starter Kit Super + vật liệu giấy, nhựa, xốp an toàn.
Bổ sung: Giấy A3; thẻ module.</t>
  </si>
  <si>
    <t>Ảnh/video: Sơ đồ 3–5 khối + module thử thành công.. Kèm câu trẻ tự trả lời: “Nếu sản phẩm đứng yên, chúng mình phải kiểm tra đoạn nào trước?”</t>
  </si>
  <si>
    <t>GỢI NHỚ (2–4 phút): B6/B7 tính năng và sơ đồ. CÂU HỎI: Nếu chưa hoàn hảo, sản phẩm có được mang ra thử không?</t>
  </si>
  <si>
    <t>LÀM NGAY: Đội hoàn thiện một luồng hoạt động chính; GV kiểm tra dây; nhóm khác thử.
GV chỉ giảng khái niệm sau khi trẻ quan sát và cần lời giải thích.</t>
  </si>
  <si>
    <t>TỰ THỬ: Đặt thêm tình huống làm V1 chưa chạy tốt, xác định điều cần sửa.</t>
  </si>
  <si>
    <t>Toàn bộ Starter Kit Super + vật liệu giấy, nhựa, xốp an toàn.
Bổ sung: Module của dự án; thẻ thử.</t>
  </si>
  <si>
    <t>Ảnh/video: Prototype V1 giữa khóa.. Kèm câu trẻ tự trả lời: “Nếu chưa hoàn hảo, sản phẩm có được mang ra thử không?”</t>
  </si>
  <si>
    <t>GỢI NHỚ (2–4 phút): K2/K5: thử 3 tình huống. CÂU HỎI: Một lần đúng có đủ tin tưởng sản phẩm không?</t>
  </si>
  <si>
    <t>LÀM NGAY: Lập bảng 5 ô tick; chạy thiết bị 5 lần giống nhau, tìm lần bị sai, kiểm tra có thay đổi gì.
GV chỉ giảng khái niệm sau khi trẻ quan sát và cần lời giải thích.</t>
  </si>
  <si>
    <t>TỰ THỬ: Thử một cách sửa nhỏ rồi chạy lại đủ 5 lần; nhìn tỷ lệ bằng sticker, không tính công thức.</t>
  </si>
  <si>
    <t>Toàn bộ Starter Kit Super + vật liệu giấy, nhựa, xốp an toàn.
Bổ sung: Thẻ tick; stopwatch.</t>
  </si>
  <si>
    <t>Ảnh/video: Bảng kiểm thử 5 lần + sản phẩm ổn định hơn.. Kèm câu trẻ tự trả lời: “Một lần đúng có đủ tin tưởng sản phẩm không?”</t>
  </si>
  <si>
    <t>GỢI NHỚ (2–4 phút): K1 repeat; K5 if. CÂU HỎI: Nhóm khác đọc code của con có hiểu chỗ nào điều khiển đèn?</t>
  </si>
  <si>
    <t>LÀM NGAY: Chụp màn hình code V1; đánh dấu đoạn lặp; rút ngắn bằng repeat hoặc đặt tên biến dễ hiểu.
GV chỉ giảng khái niệm sau khi trẻ quan sát và cần lời giải thích.</t>
  </si>
  <si>
    <t>TỰ THỬ: Cho bạn khác tìm khối để đổi thời gian/ngưỡng; sửa cấu trúc nếu khó tìm.</t>
  </si>
  <si>
    <t>Toàn bộ Starter Kit Super + vật liệu giấy, nhựa, xốp an toàn.
Bổ sung: App; code nhóm cũ.</t>
  </si>
  <si>
    <t>Ảnh/video: Code V2 có chú giải 3 dòng.. Kèm câu trẻ tự trả lời: “Nhóm khác đọc code của con có hiểu chỗ nào điều khiển đèn?”</t>
  </si>
  <si>
    <t>GỢI NHỚ (2–4 phút): K3 sensor; K4 cơ cấu; K5 robot. CÂU HỎI: Vì sao sensor đo ổn trên bàn mà đo kém khi lắp vào hộp?</t>
  </si>
  <si>
    <t>LÀM NGAY: Với dự án nhóm, chỉ thay một vị trí sensor/chi tiết cơ khí, thử lại chức năng chính.
GV chỉ giảng khái niệm sau khi trẻ quan sát và cần lời giải thích.</t>
  </si>
  <si>
    <t>TỰ THỬ: Nhóm khác quan sát, đề xuất một cải tiến đơn giản thay vì thêm linh kiện.</t>
  </si>
  <si>
    <t>Toàn bộ Starter Kit Super + vật liệu giấy, nhựa, xốp an toàn.
Bổ sung: Đế/bìa; dây gọn; thước.</t>
  </si>
  <si>
    <t>Ảnh/video: Prototype cải thiện vị trí lắp.. Kèm câu trẻ tự trả lời: “Vì sao sensor đo ổn trên bàn mà đo kém khi lắp vào hộp?”</t>
  </si>
  <si>
    <t>GỢI NHỚ (2–4 phút): B4 test người dùng; B9 độ ổn định. CÂU HỎI: Khách bấm sai nút không phải do họ kém; con có thể làm rõ hơn không?</t>
  </si>
  <si>
    <t>LÀM NGAY: Mỗi nhóm mời 2 bạn dùng sản phẩm theo thẻ nhiệm vụ; ghi họ có hoàn thành không, khó ở đâu.
GV chỉ giảng khái niệm sau khi trẻ quan sát và cần lời giải thích.</t>
  </si>
  <si>
    <t>TỰ THỬ: Chọn một vấn đề chung, làm V2 và cho bạn thứ ba dùng thử.</t>
  </si>
  <si>
    <t>Toàn bộ Starter Kit Super + vật liệu giấy, nhựa, xốp an toàn.
Bổ sung: Thẻ nhiệm vụ; sản phẩm nhóm.</t>
  </si>
  <si>
    <t>Ảnh/video: Phiếu khách thử + V2 được chỉnh sửa.. Kèm câu trẻ tự trả lời: “Khách bấm sai nút không phải do họ kém; con có thể làm rõ hơn không?”</t>
  </si>
  <si>
    <t>GỢI NHỚ (2–4 phút): B8/B11: phản hồi của bạn. CÂU HỎI: Điều gì bắt buộc phải hoạt động dù chưa kịp trang trí?</t>
  </si>
  <si>
    <t>LÀM NGAY: Nhóm sửa các lỗi làm sản phẩm không đạt nhiệm vụ chính; chạy lại đủ 3 kịch bản yêu cầu.
GV chỉ giảng khái niệm sau khi trẻ quan sát và cần lời giải thích.</t>
  </si>
  <si>
    <t>TỰ THỬ: Nếu đạt sớm, thêm một tiện ích nhỏ có thể giải thích bằng kiến thức cũ.</t>
  </si>
  <si>
    <t>Toàn bộ Starter Kit Super + vật liệu giấy, nhựa, xốp an toàn.
Bổ sung: Bộ dự án nhóm; test cards.</t>
  </si>
  <si>
    <t>Ảnh/video: Sản phẩm V2 dùng được.. Kèm câu trẻ tự trả lời: “Điều gì bắt buộc phải hoạt động dù chưa kịp trang trí?”</t>
  </si>
  <si>
    <t>GỢI NHỚ (2–4 phút): B1 rắc rối lớp học; B13 V2. CÂU HỎI: Khách chỉ nhìn sản phẩm đẹp có biết con đã học gì không?</t>
  </si>
  <si>
    <t>LÀM NGAY: Nhóm làm poster 4 ô “vấn đề–cách làm–lỗi–cải tiến”; thử trình bày 1 phút trước nhóm khác.
GV chỉ giảng khái niệm sau khi trẻ quan sát và cần lời giải thích.</t>
  </si>
  <si>
    <t>TỰ THỬ: Bạn nghe đặt câu hỏi “nếu đổi điều kiện thì sao?”, trẻ giải thích.</t>
  </si>
  <si>
    <t>Toàn bộ Starter Kit Super + vật liệu giấy, nhựa, xốp an toàn.
Bổ sung: Ảnh V1/V2; sticker; giấy A3.</t>
  </si>
  <si>
    <t>Ảnh/video: Poster dự án + video thử thuyết trình.. Kèm câu trẻ tự trả lời: “Khách chỉ nhìn sản phẩm đẹp có biết con đã học gì không?”</t>
  </si>
  <si>
    <t>GỢI NHỚ (2–4 phút): B9 checklist; B14 poster. CÂU HỎI: Đang demo mà máy không chạy, con làm gì đầu tiên?</t>
  </si>
  <si>
    <t>LÀM NGAY: GV bốc một thẻ lỗi an toàn như quên bấm Run/sai ngưỡng; nhóm xử lý theo 3 bước đã học.
GV chỉ giảng khái niệm sau khi trẻ quan sát và cần lời giải thích.</t>
  </si>
  <si>
    <t>TỰ THỬ: Cho bạn khác vận hành bằng hướng dẫn 3 câu tự viết.</t>
  </si>
  <si>
    <t>Toàn bộ Starter Kit Super + vật liệu giấy, nhựa, xốp an toàn.
Bổ sung: Bộ dự án; bảng checklist.</t>
  </si>
  <si>
    <t>Ảnh/video: Góc demo hoàn chỉnh, bảng 3 bước kiểm tra.. Kèm câu trẻ tự trả lời: “Đang demo mà máy không chạy, con làm gì đầu tiên?”</t>
  </si>
  <si>
    <t>GỢI NHỚ (2–4 phút): Chơi đoán nguồn input từ sản phẩm. CÂU HỎI: Khách hỏi “nếu dùng ở nhà thì cần thay gì?”.</t>
  </si>
  <si>
    <t>LÀM NGAY: Triển lãm sản phẩm theo chủ đề; từng trẻ thực hiện một thao tác và chia sẻ một lần thử chưa thành công.
GV chỉ giảng khái niệm sau khi trẻ quan sát và cần lời giải thích.</t>
  </si>
  <si>
    <t>TỰ THỬ: Đưa ra hướng nâng cấp khả thi, không nhất thiết thêm cảm biến mới.</t>
  </si>
  <si>
    <t>Toàn bộ Starter Kit Super + vật liệu giấy, nhựa, xốp an toàn.
Bổ sung: Sản phẩm nhóm; poster; thẻ trải nghiệm.</t>
  </si>
  <si>
    <t>Ảnh/video: Inventor Expo + hồ sơ 1 trang.. Kèm câu trẻ tự trả lời: “Khách hỏi “nếu dùng ở nhà thì cần thay gì?”.”</t>
  </si>
  <si>
    <t>TÀI LIỆU NGUỒN OHSTEM &amp; CÁC BÀI ỨNG DỤNG SÁNG TẠO THÊM</t>
  </si>
  <si>
    <t>Nguồn OhStem là mô hình/kỹ thuật tham khảo. Các trò chơi, nhiệm vụ thay điều kiện, chuẩn đánh giá và tổ chức 16 buổi là thiết kế sư phạm bổ sung; không phải nội dung nguyên văn của OhStem.</t>
  </si>
  <si>
    <t>#</t>
  </si>
  <si>
    <t>Nguồn / dự án</t>
  </si>
  <si>
    <t>URL</t>
  </si>
  <si>
    <t>Được dùng chủ yếu ở</t>
  </si>
  <si>
    <t>Ghi chú thiết kế</t>
  </si>
  <si>
    <t>Tổng quan STEM Starter Kit</t>
  </si>
  <si>
    <t>https://docs.ohstem.vn/en/latest/stem_kit/stem_kit.html</t>
  </si>
  <si>
    <t>Toàn bộ</t>
  </si>
  <si>
    <t>Khung dự án và hệ sinh thái Starter Kit.</t>
  </si>
  <si>
    <t>Tải thư viện STEM Kit</t>
  </si>
  <si>
    <t>https://docs.ohstem.vn/en/latest/stem_kit/cac_chu_de/tai_thu_vien.html</t>
  </si>
  <si>
    <t>K01 B1</t>
  </si>
  <si>
    <t>Tham khảo thiết bị/cách chế tạo; nhiệm vụ và mức độ phân hóa được bổ sung theo hướng học qua làm.</t>
  </si>
  <si>
    <t>Đèn giao thông</t>
  </si>
  <si>
    <t>https://docs.ohstem.vn/en/latest/stem_kit/cac_chu_de/den_giao_thong.html</t>
  </si>
  <si>
    <t>K01 B2, K01 B13, K01 B14</t>
  </si>
  <si>
    <t>Máy rửa tay</t>
  </si>
  <si>
    <t>https://docs.ohstem.vn/en/latest/stem_kit/cac_chu_de/may_rua_tay.html</t>
  </si>
  <si>
    <t>K02 B1, K02 B7, K02 B8</t>
  </si>
  <si>
    <t>Bãi đậu xe</t>
  </si>
  <si>
    <t>https://docs.ohstem.vn/en/latest/stem_kit/cac_chu_de/bai_dau_xe.html</t>
  </si>
  <si>
    <t>K03 B1, K03 B2, K03 B3</t>
  </si>
  <si>
    <t>Gậy thông minh</t>
  </si>
  <si>
    <t>https://docs.ohstem.vn/en/latest/stem_kit/cac_chu_de/gay_thong_minh.html</t>
  </si>
  <si>
    <t>K02 B2, K02 B3, K02 B5, K02 B6</t>
  </si>
  <si>
    <t>Máy báo khí gas</t>
  </si>
  <si>
    <t>https://docs.ohstem.vn/en/latest/stem_kit/cac_chu_de/may_bao_khi_gas.html</t>
  </si>
  <si>
    <t>K02 B13, K03 B12</t>
  </si>
  <si>
    <t>Đèn học thông minh</t>
  </si>
  <si>
    <t>https://docs.ohstem.vn/en/latest/stem_kit/cac_chu_de/den_hoc_thong_minh.html</t>
  </si>
  <si>
    <t>K03 B10, K03 B11</t>
  </si>
  <si>
    <t>Thùng rác thông minh</t>
  </si>
  <si>
    <t>https://docs.ohstem.vn/en/latest/stem_kit/cac_chu_de/thung_rac_thong_minh.html</t>
  </si>
  <si>
    <t>K03 B4, K03 B5</t>
  </si>
  <si>
    <t>Cửa thông minh</t>
  </si>
  <si>
    <t>https://docs.ohstem.vn/en/latest/stem_kit/cac_chu_de/cua_thong_minh.html</t>
  </si>
  <si>
    <t>K03 B6, K03 B7, K03 B8</t>
  </si>
  <si>
    <t>Chậu cây thông minh</t>
  </si>
  <si>
    <t>https://docs.ohstem.vn/en/latest/stem_kit/cac_chu_de/chau_cay_thong_minh.html</t>
  </si>
  <si>
    <t>K02 B9, K02 B10, K02 B11, K02 B12</t>
  </si>
  <si>
    <t>Trò luồn dây</t>
  </si>
  <si>
    <t>https://docs.ohstem.vn/en/latest/stem_kit/cac_chu_de/tro_luon_day.html</t>
  </si>
  <si>
    <t>K01 B11</t>
  </si>
  <si>
    <t>Vòng quay</t>
  </si>
  <si>
    <t>https://docs.ohstem.vn/en/latest/stem_kit/cac_chu_de/vong_quay.html</t>
  </si>
  <si>
    <t>K04 B3, K04 B4</t>
  </si>
  <si>
    <t>Máy bắn đá</t>
  </si>
  <si>
    <t>https://docs.ohstem.vn/en/latest/stem_kit/cac_chu_de/may_ban_da.html</t>
  </si>
  <si>
    <t>K04 B7, K04 B8</t>
  </si>
  <si>
    <t>Cáp treo</t>
  </si>
  <si>
    <t>https://docs.ohstem.vn/en/latest/stem_kit/cac_chu_de/cap_treo.html</t>
  </si>
  <si>
    <t>K04 B5, K04 B6</t>
  </si>
  <si>
    <t>Robot cào cào</t>
  </si>
  <si>
    <t>https://docs.ohstem.vn/en/latest/stem_kit/cac_chu_de/robot_cao_cao.html</t>
  </si>
  <si>
    <t>K04 B9, K04 B10</t>
  </si>
  <si>
    <t>Robot từ xa</t>
  </si>
  <si>
    <t>https://docs.ohstem.vn/en/latest/stem_kit/cac_chu_de/robot_tu_xa.html</t>
  </si>
  <si>
    <t>K05 B1, K05 B2, K05 B5, K05 B6</t>
  </si>
  <si>
    <t>Robot né vật</t>
  </si>
  <si>
    <t>https://docs.ohstem.vn/en/latest/stem_kit/cac_chu_de/robot_ne_vat.html</t>
  </si>
  <si>
    <t>K05 B7, K05 B8, K05 B9</t>
  </si>
  <si>
    <t>Robot gắp vật</t>
  </si>
  <si>
    <t>https://docs.ohstem.vn/en/latest/stem_kit/cac_chu_de/robot_gap_vat.html</t>
  </si>
  <si>
    <t>K05 B11, K05 B12, K05 B13</t>
  </si>
  <si>
    <t>Thuyền điện</t>
  </si>
  <si>
    <t>https://docs.ohstem.vn/en/latest/stem_kit/cac_chu_de/thuyen_dien.html</t>
  </si>
  <si>
    <t>K04 B14</t>
  </si>
  <si>
    <t>Robot sâu đo</t>
  </si>
  <si>
    <t>https://docs.ohstem.vn/en/latest/stem_kit/cac_chu_de/robot_sau_do.html</t>
  </si>
  <si>
    <t>K04 B11</t>
  </si>
  <si>
    <t>Bàn tay mô phỏng</t>
  </si>
  <si>
    <t>https://docs.ohstem.vn/en/latest/stem_kit/cac_chu_de/ban_tay_mo_phong.html</t>
  </si>
  <si>
    <t>K04 B12, K04 B13</t>
  </si>
  <si>
    <t>Robot dò đường</t>
  </si>
  <si>
    <t>https://docs.ohstem.vn/en/latest/stem_kit/cac_chu_de/robot-do-duong.html</t>
  </si>
  <si>
    <t>Workshop mở rộng / tài liệu tham khảo</t>
  </si>
  <si>
    <t>Không bắt buộc trong 96 buổi lõi.</t>
  </si>
  <si>
    <t>18 ĐIỂM CHẠM ĐÁNH GIÁ – NHIỆM VỤ THẬT, KHÔNG THI LÝ THUYẾT</t>
  </si>
  <si>
    <t>Mỗi khóa quan sát 2 buổi có hoạt động đủ phong phú và buổi 16. Mỗi buổi khác vẫn có câu hỏi nhớ lại + thử thách ngắn. Chấm mức tự chủ, không chấm học thuộc công thức.</t>
  </si>
  <si>
    <t>Nhiệm vụ quan sát</t>
  </si>
  <si>
    <t>Kiến thức gợi lại</t>
  </si>
  <si>
    <t>Bài thử trong khi chơi</t>
  </si>
  <si>
    <t>Nhiệm vụ mới</t>
  </si>
  <si>
    <t>Sản phẩm/minh chứng</t>
  </si>
  <si>
    <t>Điều GV cần nhìn</t>
  </si>
  <si>
    <t>An toàn</t>
  </si>
  <si>
    <t>Nhận xét GV</t>
  </si>
  <si>
    <t>Lần ôn kế tiếp</t>
  </si>
  <si>
    <t>Màu, nút, thời gian, repeat</t>
  </si>
  <si>
    <t>B8–B11 bằng trò hỏi nhanh</t>
  </si>
  <si>
    <t>Chơi “đoán lệnh” 2 phút</t>
  </si>
  <si>
    <t>Gậy V1, đo cm</t>
  </si>
  <si>
    <t>B8: hạn chế bơm chạy lâu</t>
  </si>
  <si>
    <t>Đoán “bí mật sensor” từ sản phẩm bạn</t>
  </si>
  <si>
    <t>K1: âm thanh/LED; K3 B4 nắp</t>
  </si>
  <si>
    <t>B7/B10/B12: cửa, đèn, cảnh báo</t>
  </si>
  <si>
    <t>Đoán chức năng theo biểu tượng</t>
  </si>
  <si>
    <t>B4 ma sát; B5 cáp treo</t>
  </si>
  <si>
    <t>B9: chân chạm sàn; B8 bảng thử</t>
  </si>
  <si>
    <t>Đoán bộ phận quay của sản phẩm bạn</t>
  </si>
  <si>
    <t>K1 nút A/B; K5 B2 điều khiển motor</t>
  </si>
  <si>
    <t>B4, B5, B8, B9</t>
  </si>
  <si>
    <t>Đố bạn robot dùng sensor nào</t>
  </si>
  <si>
    <t>B1–B4; K1–K5 linh kiện cũ</t>
  </si>
  <si>
    <t>B4 test người dùng; B9 độ ổn định</t>
  </si>
  <si>
    <t>Chơi đoán nguồn input từ sản phẩm</t>
  </si>
  <si>
    <t>5 NĂNG LỰC – QUAN SÁT KHI TRẺ ĐANG LÀM, KHÔNG KIỂM TRA HỌC THUỘC</t>
  </si>
  <si>
    <t>Đánh giá 0–3 như ghi nhận mức hỗ trợ cần thiết, không dùng điểm để xếp hạng bé. Mỗi khái niệm được hỏi ngay sau hành động; nếu chưa hiểu thì dùng mô hình thật để dạy lại.</t>
  </si>
  <si>
    <t>0 – Chưa thực hiện</t>
  </si>
  <si>
    <t>1 – Cần hỗ trợ nhiều</t>
  </si>
  <si>
    <t>2 – Gần độc lập</t>
  </si>
  <si>
    <t>3 – Độc lập / biết giải thích</t>
  </si>
  <si>
    <t>Minh chứng nên giữ</t>
  </si>
  <si>
    <t>Knowledge / hiểu khái niệm</t>
  </si>
  <si>
    <t>Chưa gọi đúng input/output hoặc nguyên lý.</t>
  </si>
  <si>
    <t>Nhận diện sau gợi ý trực tiếp; giải thích còn lẫn.</t>
  </si>
  <si>
    <t>Mô tả đúng với 1 gợi ý; liên hệ ví dụ tương tự.</t>
  </si>
  <si>
    <t>Tự giải thích 'vì sao', đưa ví dụ mới không xem mẫu.</t>
  </si>
  <si>
    <t>Phiếu 2 câu hỏi nhận biết + giải thích.</t>
  </si>
  <si>
    <t>Coding / lập trình</t>
  </si>
  <si>
    <t>Không sắp được các block cơ bản.</t>
  </si>
  <si>
    <t>Kéo được khi giáo viên chỉ từng block.</t>
  </si>
  <si>
    <t>Tự xây phần chính; cần 1–2 gợi ý nhỏ.</t>
  </si>
  <si>
    <t>Tự viết/đọc/sửa chương trình và dự đoán đầu ra.</t>
  </si>
  <si>
    <t>Screenshot code, video thay tham số.</t>
  </si>
  <si>
    <t>Engineering / lắp ráp</t>
  </si>
  <si>
    <t>Lắp/cắm sai, chưa kiểm soát được an toàn.</t>
  </si>
  <si>
    <t>Lắp theo mẫu cùng GV, cần nhắc liên tục.</t>
  </si>
  <si>
    <t>Tự lắp phần chính; tự chỉnh 1 yếu tố để tốt hơn.</t>
  </si>
  <si>
    <t>Chọn cấu trúc hợp lý, đo và tối ưu bằng bằng chứng.</t>
  </si>
  <si>
    <t>Ảnh V1/V2, sơ đồ dây, bảng đo.</t>
  </si>
  <si>
    <t>Debugging / sửa lỗi</t>
  </si>
  <si>
    <t>Dừng lại khi sai, chưa biết kiểm tra.</t>
  </si>
  <si>
    <t>Chỉ tìm lỗi khi GV chỉ đúng vị trí.</t>
  </si>
  <si>
    <t>Biết dự đoán nguyên nhân, thử 1–2 cách có hướng dẫn.</t>
  </si>
  <si>
    <t>Đặt giả thuyết, đổi từng yếu tố, test lại và giải thích.</t>
  </si>
  <si>
    <t>Nhật ký lỗi: triệu chứng→giả thuyết→sửa→kết quả.</t>
  </si>
  <si>
    <t>Communication / hợp tác</t>
  </si>
  <si>
    <t>Chưa trình bày, ít tham gia nhóm.</t>
  </si>
  <si>
    <t>Nói ngắn khi GV hỏi gợi ý, chia vai chưa đều.</t>
  </si>
  <si>
    <t>Trình bày được làm gì và kết quả; hợp tác cơ bản.</t>
  </si>
  <si>
    <t>Nêu được mục đích, cách vận hành, giới hạn; hỗ trợ bạn.</t>
  </si>
  <si>
    <t>Video 30s giải thích + ghi chú vai trò nhóm.</t>
  </si>
  <si>
    <t>PHẢN HỒI SƯ PHẠM SAU QUAN SÁT</t>
  </si>
  <si>
    <t>Sau bài mới</t>
  </si>
  <si>
    <t>Nếu bé còn lúng túng, cho làm lại với hai trạng thái thật; không yêu cầu đọc định nghĩa.</t>
  </si>
  <si>
    <t>Sau bài cảm biến</t>
  </si>
  <si>
    <t>Hỏi “đưa gần thì sao, đưa xa thì sao?” hoặc “đất khô và ẩm khác gì?”; không bắt tính công thức.</t>
  </si>
  <si>
    <t>Sau bài cơ khí</t>
  </si>
  <si>
    <t>Hỏi đã thay chi tiết nào, vì sao máy khác đi; cho thử lại bằng vật thật.</t>
  </si>
  <si>
    <t>Sau thử thách mới</t>
  </si>
  <si>
    <t>Ghi số gợi ý GV đã phải đưa và một thao tác bé tự làm được.</t>
  </si>
  <si>
    <t>Sau Maker Day</t>
  </si>
  <si>
    <t>Ghi sản phẩm, câu bé tự giải thích, lỗi bé đã sửa và kỹ năng nên luyện ở khóa tới.</t>
  </si>
  <si>
    <t>Lưu ý: 18 mốc là những dịp lưu minh chứng sâu; ở mọi buổi giáo viên vẫn ghi nhận một thao tác học sinh đã tự làm.</t>
  </si>
  <si>
    <t>GHI CHÚ: Buổi 15 chỉ là tổng duyệt V2; đánh giá cuối khóa ghi ở B16 Maker Day. Cần lưu thêm phiếu cá nhân (không chỉ sản phẩm của nhóm).</t>
  </si>
  <si>
    <t>PHIẾU THEO DÕI TỪ TRẢI NGHIỆM • 18 LẦN QUAN SÁT</t>
  </si>
  <si>
    <t>Nhân bản sheet cho từng bé. Mỗi nhiệm vụ ghi 5 năng lực 0–3 dựa trên bé TỰ LÀM ĐƯỢC GÌ; 18 mốc là gợi ý chọn thời điểm quan sát sâu, không phải lịch thi bắt buộc.</t>
  </si>
  <si>
    <t>Tên học viên</t>
  </si>
  <si>
    <t>Giáo viên</t>
  </si>
  <si>
    <t>Lớp / nhóm</t>
  </si>
  <si>
    <t>Ngày bắt đầu</t>
  </si>
  <si>
    <t>Nhiệm vụ tự làm</t>
  </si>
  <si>
    <t>Ngày</t>
  </si>
  <si>
    <t>Nhóm</t>
  </si>
  <si>
    <t>Hiểu vấn đề (0–3)</t>
  </si>
  <si>
    <t>Code (0–3)</t>
  </si>
  <si>
    <t>Lắp &amp; thử (0–3)</t>
  </si>
  <si>
    <t>Tự sửa (0–3)</t>
  </si>
  <si>
    <t>Kể lại (0–3)</t>
  </si>
  <si>
    <t>Tổng /15</t>
  </si>
  <si>
    <t>Mức hỗ trợ</t>
  </si>
  <si>
    <t>Kỹ năng nên luyện</t>
  </si>
  <si>
    <t>Link ảnh/video</t>
  </si>
  <si>
    <t>NGÂN HÀNG BÀI TẬP NHỚ LÂU – 96 BUỔI KHÔNG HỌC THUỘC</t>
  </si>
  <si>
    <t>Giáo viên dùng câu gợi nhớ ngay đầu giờ, cho bé tự thay một điều kiện sau khi làm mẫu và kết thúc bằng một hành động/giải thích ngắn. Với bé 7–8 tuổi dùng hình và lời nói thay phiếu số liệu.</t>
  </si>
  <si>
    <t>Gợi nhớ 2–4 phút</t>
  </si>
  <si>
    <t>Tình huống mở</t>
  </si>
  <si>
    <t>Bài tập để bé tự làm</t>
  </si>
  <si>
    <t>Mini test nhanh sau làm</t>
  </si>
  <si>
    <t>Chứng cứ nên giữ</t>
  </si>
  <si>
    <t>Nguồn dự án (nếu có)</t>
  </si>
  <si>
    <t>Rio nhận chuỗi lệnh di chuyển</t>
  </si>
  <si>
    <t>Nếu Rio nghe lệnh đi, Yolo:Bit có thể nghe lệnh gì?</t>
  </si>
  <si>
    <t>Run/Stop; đổi một lệnh</t>
  </si>
  <si>
    <t>Làm sao chiếc đèn biết con đang vui hay cần giúp?</t>
  </si>
  <si>
    <t>LED màu của buổi 2</t>
  </si>
  <si>
    <t>Làm thế nào chọn được màu mà không sửa code mỗi lần?</t>
  </si>
  <si>
    <t>Nhiệm vụ mới do trung tâm thiết kế</t>
  </si>
  <si>
    <t>Nút A/B và màu LED</t>
  </si>
  <si>
    <t>Làm sao cô biết nhóm đã xong hay đang cần hỗ trợ?</t>
  </si>
  <si>
    <t>Nút A/B; điều khiển màu</t>
  </si>
  <si>
    <t>Vì sao đèn nhấp nháy quá nhanh khiến khán giả chưa kịp xem?</t>
  </si>
  <si>
    <t>Trình tự; wait của buổi 5</t>
  </si>
  <si>
    <t>Cần nháy xanh–đỏ 6 lần, có phải kéo 12 khối không?</t>
  </si>
  <si>
    <t>Đèn báo “đã xong” lại sáng đỏ: máy hỏng hay chương trình sai?</t>
  </si>
  <si>
    <t>B1–B7 qua trò gọi tên hành động</t>
  </si>
  <si>
    <t>Khi lớp im lặng và khi cần trợ giúp, đèn nên làm gì?</t>
  </si>
  <si>
    <t>Sự kiện A/B; đầu ra</t>
  </si>
  <si>
    <t>Điểm có biến mất sau mỗi lần bấm không? Máy nhớ bằng cách nào?</t>
  </si>
  <si>
    <t>Biến điểm và nút bấm</t>
  </si>
  <si>
    <t>Nếu ai cũng bấm một nút mà ra cùng số thì còn vui không?</t>
  </si>
  <si>
    <t>Nút nhấn là Input; đèn báo</t>
  </si>
  <si>
    <t>Vì sao chạm vào dây lại khiến còi kêu?</t>
  </si>
  <si>
    <t>Cô đưa game chưa hoạt động: nhóm nào giúp nó chạy?</t>
  </si>
  <si>
    <t>B5–B7 Light Show và sửa lỗi</t>
  </si>
  <si>
    <t>Ở ngã tư Rio, tín hiệu đổi màu ra sao để ai cũng biết chờ?</t>
  </si>
  <si>
    <t>Đèn giao thông V1; nút A/B</t>
  </si>
  <si>
    <t>Nếu đường vắng về đêm hoặc có người xin qua đường, đèn nên phản ứng thế nào?</t>
  </si>
  <si>
    <t>Từ chương trình V1/V2 cũ</t>
  </si>
  <si>
    <t>Ngoài giao thông, nơi nào trong trường cần tín hiệu dễ hiểu?</t>
  </si>
  <si>
    <t>Làm cách nào để khách mới chơi được mà cô không hướng dẫn?</t>
  </si>
  <si>
    <t>K1: nút bấm làm đèn sáng</t>
  </si>
  <si>
    <t>Có thể làm đèn chào mà không chạm nút không?</t>
  </si>
  <si>
    <t>Đèn chào tay B1</t>
  </si>
  <si>
    <t>Làm sao biết bàn tay đang cách sensor bao nhiêu?</t>
  </si>
  <si>
    <t>B2: đo gần/xa</t>
  </si>
  <si>
    <t>Làm sao để máy chỉ báo khi có người đứng trước cửa?</t>
  </si>
  <si>
    <t>B2–B3: cm, vạch báo</t>
  </si>
  <si>
    <t>Nếu trước cảm biến là vải mềm và hộp giấy, tiếng chuông có giống nhau không?</t>
  </si>
  <si>
    <t>B3: chuông cửa báo gần</t>
  </si>
  <si>
    <t>Người ít nhìn thấy phía trước cần biết gần có vật cản thì làm sao?</t>
  </si>
  <si>
    <t>Gậy báo liên tục dù không có vật cản: do đâu?</t>
  </si>
  <si>
    <t>B3: đủ gần mới báo</t>
  </si>
  <si>
    <t>Nếu tay bẩn, làm sao lấy nước/xà phòng mà không chạm nút?</t>
  </si>
  <si>
    <t>B6–B7: tránh báo nhầm, bơm</t>
  </si>
  <si>
    <t>Máy rửa tay phun lâu quá: làm sao tiết kiệm?</t>
  </si>
  <si>
    <t>B2: số đo thay đổi khi môi trường đổi</t>
  </si>
  <si>
    <t>Ba chậu giống nhau, chậu nào cần tưới?</t>
  </si>
  <si>
    <t>B3 &amp; B9: chọn vạch từ mẫu thật</t>
  </si>
  <si>
    <t>Cây không nói được, ta làm đèn báo giúp cây nhé?</t>
  </si>
  <si>
    <t>B7: bơm không chạm; B10: đất khô</t>
  </si>
  <si>
    <t>Khi đi vắng ai nhớ tưới cây?</t>
  </si>
  <si>
    <t>Nếu đất đã ẩm mà bơm vẫn chạy, con sẽ sửa ở đâu?</t>
  </si>
  <si>
    <t>B1, B9: cảm biến nào đo gì</t>
  </si>
  <si>
    <t>Máy đo khoảng cách có biết không khí xung quanh thay đổi không?</t>
  </si>
  <si>
    <t>B3/B10: ngưỡng là gì</t>
  </si>
  <si>
    <t>Cô giao 3 mật thư: cửa có khách, chậu thiếu nước, cảnh báo không khí.</t>
  </si>
  <si>
    <t>Nhắc lại sản phẩm B5/B11</t>
  </si>
  <si>
    <t>Ở nhà hoặc lớp con muốn máy giúp việc nào?</t>
  </si>
  <si>
    <t>Khách thử sản phẩm của nhóm nhưng có thể dùng khác tưởng tượng của con.</t>
  </si>
  <si>
    <t>K2: máy nhận tín hiệu rồi làm</t>
  </si>
  <si>
    <t>Làm sao cánh cửa tự mở đúng một góc mà không va vào tường?</t>
  </si>
  <si>
    <t>K2: chuông cửa đủ gần mới báo</t>
  </si>
  <si>
    <t>Xe đến cổng nhưng bác bảo vệ chưa kịp mở: làm sao trợ giúp?</t>
  </si>
  <si>
    <t>B2: sensor và góc servo</t>
  </si>
  <si>
    <t>Nếu xe chưa đi qua mà cổng đã đóng thì sao?</t>
  </si>
  <si>
    <t>B2–B3: khoảng cách→servo</t>
  </si>
  <si>
    <t>Khi tay đang bẩn, con có thể mở thùng rác thế nào?</t>
  </si>
  <si>
    <t>Thùng rác đã mở nhưng người ta không biết có sẵn sàng chưa?</t>
  </si>
  <si>
    <t>K1: nút A/B là input</t>
  </si>
  <si>
    <t>Khi có nhiều nút, máy nhận ra nút nào được bấm?</t>
  </si>
  <si>
    <t>Keypad B6; góc servo B1</t>
  </si>
  <si>
    <t>Làm sao bảo vệ góc đồ chơi của nhóm?</t>
  </si>
  <si>
    <t>B6–B7: xác nhận mã</t>
  </si>
  <si>
    <t>Bạn bấm nhầm một số rồi muốn nhập lại thì làm thế nào?</t>
  </si>
  <si>
    <t>B2–B8: barrier, bin, door</t>
  </si>
  <si>
    <t>Nếu thùng rác bị lỗi, cửa nhà có phải dừng theo không?</t>
  </si>
  <si>
    <t>B4 thùng rác và K2 siêu âm</t>
  </si>
  <si>
    <t>Khi bàn không có người, đèn có cần sáng mãi không?</t>
  </si>
  <si>
    <t>B10 đèn bàn; K4 chưa học motor sâu</t>
  </si>
  <si>
    <t>Có người ngồi học thì nên bật những thiết bị nào?</t>
  </si>
  <si>
    <t>K2 B13 cảm biến gas GV demo</t>
  </si>
  <si>
    <t>Máy báo động có ích gì khi mọi người ở phòng khác?</t>
  </si>
  <si>
    <t>Khách đúng mã đến lúc phòng tối thì ngôi nhà làm gì trước?</t>
  </si>
  <si>
    <t>Những mô hình B1–B13</t>
  </si>
  <si>
    <t>Nếu nhà có trẻ nhỏ, con sẽ ưu tiên chức năng nào?</t>
  </si>
  <si>
    <t>B14 V1 và lỗi nhóm</t>
  </si>
  <si>
    <t>Khách thử không hiểu đèn đỏ của con: nên sửa điều gì?</t>
  </si>
  <si>
    <t>Khách muốn thử nhà theo cách khác người thiết kế tưởng tượng.</t>
  </si>
  <si>
    <t>K3: servo mở cửa đúng góc</t>
  </si>
  <si>
    <t>Vì sao bánh xe quay còn cánh cửa chỉ mở một góc?</t>
  </si>
  <si>
    <t>K4 B1; servo K3</t>
  </si>
  <si>
    <t>Nếu muốn quay bánh xe và nâng thanh chắn, con chọn gì?</t>
  </si>
  <si>
    <t>K1: sự kiện và wait</t>
  </si>
  <si>
    <t>Làm sao tạo trò chơi chọn nhiệm vụ ngẫu nhiên cho cả lớp?</t>
  </si>
  <si>
    <t>B3 vòng quay và K1 random</t>
  </si>
  <si>
    <t>Vì sao hai vòng quay cùng code nhưng dừng ở chỗ khác?</t>
  </si>
  <si>
    <t>B1 chiều quay và Stop</t>
  </si>
  <si>
    <t>Cabin làm thế nào vượt qua thung lũng mà không có đường?</t>
  </si>
  <si>
    <t>Vì sao cabin chở nhiều đồ có lúc không lên được?</t>
  </si>
  <si>
    <t>Servo B2; thước B6</t>
  </si>
  <si>
    <t>Ném vật bằng tay và bằng máy có khác nhau không?</t>
  </si>
  <si>
    <t>B7 phóng mềm</t>
  </si>
  <si>
    <t>Bạn A đổi cả vật và góc thì ta biết lý do bay xa không?</t>
  </si>
  <si>
    <t>B4 vòng quay; B6 ma sát</t>
  </si>
  <si>
    <t>Vì sao một con cào cào có thể nhảy mà bánh xe chỉ lăn?</t>
  </si>
  <si>
    <t>Vì sao cào cào nhóm con hay xoay tròn thay vì đi thẳng?</t>
  </si>
  <si>
    <t>B10 đổi cơ cấu, K1 lặp</t>
  </si>
  <si>
    <t>Sâu không có bánh xe mà vẫn đi thế nào?</t>
  </si>
  <si>
    <t>B11 cơ cấu; K3 servo</t>
  </si>
  <si>
    <t>Vì sao khi kéo một sợi dây, ngón tay có thể co lại?</t>
  </si>
  <si>
    <t>B12 ngón tay và dây</t>
  </si>
  <si>
    <t>Bàn tay gập được nhưng làm rơi quả bóng giấy thì sao?</t>
  </si>
  <si>
    <t>Motor B1; cân bằng B13</t>
  </si>
  <si>
    <t>Vì sao thuyền chở lệch một bên dễ bị nghiêng?</t>
  </si>
  <si>
    <t>B3 vòng quay; B5 cáp; B9 cào cào</t>
  </si>
  <si>
    <t>Cô đưa nhiệm vụ nâng, quay hoặc đẩy một vật nhẹ: làm máy gì?</t>
  </si>
  <si>
    <t>Khách thử máy và hỏi vì sao nó di chuyển như vậy.</t>
  </si>
  <si>
    <t>K4 motor và lắp cơ khí</t>
  </si>
  <si>
    <t>Rio đi trên sa bàn, robot tự lắp cần bộ phận nào để đi?</t>
  </si>
  <si>
    <t>Rio: trái/phải; K4 chiều motor</t>
  </si>
  <si>
    <t>Khi một bánh quay khác bánh còn lại thì chuyện gì xảy ra?</t>
  </si>
  <si>
    <t>B2 tiến thẳng bằng 2 motor</t>
  </si>
  <si>
    <t>Hai bánh có quay giống nhau nhưng xe vẫn lệch không?</t>
  </si>
  <si>
    <t>B3 chạy thẳng; Rio chuỗi lệnh</t>
  </si>
  <si>
    <t>Làm sao giao hàng mà không đụng trạm?</t>
  </si>
  <si>
    <t>Robot có thể nghe tín hiệu từ người lái thế nào?</t>
  </si>
  <si>
    <t>B4 tuyến giao hàng; B5 remote</t>
  </si>
  <si>
    <t>Robot chở 1 cục hàng khác chở 3 cục thế nào?</t>
  </si>
  <si>
    <t>K2 thước đo siêu âm và ngưỡng</t>
  </si>
  <si>
    <t>Xe có thể biết hộp ở trước mặt mà không chạm không?</t>
  </si>
  <si>
    <t>B7 cảm biến, B2 quay bánh</t>
  </si>
  <si>
    <t>Tài xế đang bận: robot có thể tự tránh hộp không?</t>
  </si>
  <si>
    <t>B8 nếu gần thì rẽ</t>
  </si>
  <si>
    <t>Robot cứ rẽ phải nhưng kẹt góc, con có cách khác không?</t>
  </si>
  <si>
    <t>Có đoạn đường nhiều người, có đoạn trống: nên dùng chế độ nào?</t>
  </si>
  <si>
    <t>K4 bàn tay mô phỏng; K3 servo</t>
  </si>
  <si>
    <t>Robot có thể cầm hộp mà không dùng tay người?</t>
  </si>
  <si>
    <t>B4 giao hàng; B11 gripper</t>
  </si>
  <si>
    <t>Làm sao robot đến vật, dừng rồi mới nhặt?</t>
  </si>
  <si>
    <t>B12 robot nhặt vật; B3 hiệu chỉnh</t>
  </si>
  <si>
    <t>Robot nhặt được nhưng đặt nhầm kho thì người dùng có hài lòng?</t>
  </si>
  <si>
    <t>B4/B9/B13: giao hàng, né vật, gắp</t>
  </si>
  <si>
    <t>Có đồ tiếp tế ở bên kia “đường hỏng”: nhóm sẽ cứu trợ thế nào?</t>
  </si>
  <si>
    <t>B14 robot cứu hộ V1</t>
  </si>
  <si>
    <t>Robot giỏi 1 lần nhưng hỏng 2 lần: thế có tốt không?</t>
  </si>
  <si>
    <t>Khách thay vị trí đồ cần giao, robot sẽ xử lý ra sao?</t>
  </si>
  <si>
    <t>Nhìn lại các sản phẩm K1–K5</t>
  </si>
  <si>
    <t>Ở lớp có điều gì khiến con mất thời gian hoặc quên làm?</t>
  </si>
  <si>
    <t>K2 chậu cây; K1 nút nhấn</t>
  </si>
  <si>
    <t>Quên tưới cây có thể giải quyết bằng cách nào ngoài máy bơm?</t>
  </si>
  <si>
    <t>K5 robot/servo và K1 nút</t>
  </si>
  <si>
    <t>Đèn không sáng: do nút, chương trình hay LED?</t>
  </si>
  <si>
    <t>B1/B2 mini prototype</t>
  </si>
  <si>
    <t>Khách cầm sản phẩm nhưng không biết bấm nút nào: lỗi của ai?</t>
  </si>
  <si>
    <t>Nếu cô đổi yêu cầu giữa chừng, con sửa bộ phận nào?</t>
  </si>
  <si>
    <t>B5 chọn module phù hợp</t>
  </si>
  <si>
    <t>Nhóm muốn xây robot thật lớn nhưng chỉ có vài buổi: ta làm gì trước?</t>
  </si>
  <si>
    <t>B6 prototype đang chạy</t>
  </si>
  <si>
    <t>Nếu sản phẩm đứng yên, chúng mình phải kiểm tra đoạn nào trước?</t>
  </si>
  <si>
    <t>B6/B7 tính năng và sơ đồ</t>
  </si>
  <si>
    <t>Nếu chưa hoàn hảo, sản phẩm có được mang ra thử không?</t>
  </si>
  <si>
    <t>K2/K5: thử 3 tình huống</t>
  </si>
  <si>
    <t>Một lần đúng có đủ tin tưởng sản phẩm không?</t>
  </si>
  <si>
    <t>K1 repeat; K5 if</t>
  </si>
  <si>
    <t>Nhóm khác đọc code của con có hiểu chỗ nào điều khiển đèn?</t>
  </si>
  <si>
    <t>K3 sensor; K4 cơ cấu; K5 robot</t>
  </si>
  <si>
    <t>Vì sao sensor đo ổn trên bàn mà đo kém khi lắp vào hộp?</t>
  </si>
  <si>
    <t>Khách bấm sai nút không phải do họ kém; con có thể làm rõ hơn không?</t>
  </si>
  <si>
    <t>B8/B11: phản hồi của bạn</t>
  </si>
  <si>
    <t>Điều gì bắt buộc phải hoạt động dù chưa kịp trang trí?</t>
  </si>
  <si>
    <t>B1 rắc rối lớp học; B13 V2</t>
  </si>
  <si>
    <t>Khách chỉ nhìn sản phẩm đẹp có biết con đã học gì không?</t>
  </si>
  <si>
    <t>B9 checklist; B14 poster</t>
  </si>
  <si>
    <t>Đang demo mà máy không chạy, con làm gì đầu tiên?</t>
  </si>
  <si>
    <t>Khách hỏi “nếu dùng ở nhà thì cần thay gì?”.</t>
  </si>
  <si>
    <t>LẶP LẠI KIẾN THỨC BẰNG SẢN PHẨM MỚI – KHÔNG ÔN BẰNG ĐỊNH NGHĨA</t>
  </si>
  <si>
    <t>Theo dõi cơ hội gặp lại kỹ năng qua nhiệm vụ thực tế. Giáo viên có thể chuyển buổi theo tốc độ lớp, miễn vẫn giữ tiến trình sản phẩm và các điểm nhắc lại.</t>
  </si>
  <si>
    <t>Kiến thức</t>
  </si>
  <si>
    <t>Lần đầu qua vật thật</t>
  </si>
  <si>
    <t>Ôn 1 qua sản phẩm</t>
  </si>
  <si>
    <t>Ôn 2 – thay bối cảnh</t>
  </si>
  <si>
    <t>Ứng dụng về sau</t>
  </si>
  <si>
    <t>Bé chứng minh đã nhớ bằng</t>
  </si>
  <si>
    <t>Tránh dạy kiểu</t>
  </si>
  <si>
    <t>Input/Output</t>
  </si>
  <si>
    <t>K01 B1–B3: nút và đèn</t>
  </si>
  <si>
    <t>K01 B8: tín hiệu lớp học</t>
  </si>
  <si>
    <t>K02 B1: đèn chào tay</t>
  </si>
  <si>
    <t>K03 B9, K06 B7: nhiều module</t>
  </si>
  <si>
    <t>Chỉ nguồn Input và hành động Output trên sản phẩm của mình</t>
  </si>
  <si>
    <t>Cho chép sơ đồ IPO suốt buổi</t>
  </si>
  <si>
    <t>Sequence / thời gian</t>
  </si>
  <si>
    <t>K01 B5: Light Show</t>
  </si>
  <si>
    <t>K01 B13: đèn giao thông</t>
  </si>
  <si>
    <t>K03 B3: barrier đóng sau xe</t>
  </si>
  <si>
    <t>K05 B12: đến–dừng–gắp</t>
  </si>
  <si>
    <t>Đổi được thứ tự hai lệnh và nói kết quả</t>
  </si>
  <si>
    <t>Bắt học các tên khối trừu tượng</t>
  </si>
  <si>
    <t>Loop / lặp</t>
  </si>
  <si>
    <t>K01 B6: vũ điệu LED</t>
  </si>
  <si>
    <t>K01 B13: chu kỳ đèn</t>
  </si>
  <si>
    <t>K04 B11: sâu đo co–duỗi</t>
  </si>
  <si>
    <t>K06 B10: code gọn</t>
  </si>
  <si>
    <t>Tự khoanh đoạn lặp và sửa số lần lặp</t>
  </si>
  <si>
    <t>Định nghĩa lặp trước khi trẻ thấy mẫu</t>
  </si>
  <si>
    <t>If/Else / nếu–thì</t>
  </si>
  <si>
    <t>K01 B8: đèn 2 chế độ</t>
  </si>
  <si>
    <t>K02 B3: chuông cửa</t>
  </si>
  <si>
    <t>K03 B7: cửa mật mã</t>
  </si>
  <si>
    <t>K05 B8: robot né vật</t>
  </si>
  <si>
    <t>Cho chạy được 2 tình huống ngược nhau</t>
  </si>
  <si>
    <t>Cho so sánh toán học dài trước sản phẩm</t>
  </si>
  <si>
    <t>Biến</t>
  </si>
  <si>
    <t>K01 B9: điểm thưởng</t>
  </si>
  <si>
    <t>K01 B10: xúc xắc</t>
  </si>
  <si>
    <t>K03 B8: mã nhập/reset</t>
  </si>
  <si>
    <t>K06 B10: dọn code</t>
  </si>
  <si>
    <t>Giải thích một biến đang nhớ điều gì</t>
  </si>
  <si>
    <t>Giảng biến bằng thuật ngữ bộ nhớ trừu tượng</t>
  </si>
  <si>
    <t>Khoảng cách cảm biến</t>
  </si>
  <si>
    <t>K02 B3: chuông không chạm</t>
  </si>
  <si>
    <t>K02 B5: gậy báo</t>
  </si>
  <si>
    <t>K03 B2; K05 B7: xe biết nhìn</t>
  </si>
  <si>
    <t>Thử tay gần/xa và tự điều chỉnh mức báo</t>
  </si>
  <si>
    <t>Bắt tính vận tốc sóng âm / công thức</t>
  </si>
  <si>
    <t>Ngưỡng sensor</t>
  </si>
  <si>
    <t>K02 B3: vạch báo chuông</t>
  </si>
  <si>
    <t>K02 B6: gậy báo V2</t>
  </si>
  <si>
    <t>K02 B10: đèn báo đất khô</t>
  </si>
  <si>
    <t>K03 B2; K05 B8: mở cổng/né vật</t>
  </si>
  <si>
    <t>Chọn vạch từ 2–3 mẫu thật và giải thích</t>
  </si>
  <si>
    <t>Áp ngưỡng mẫu như chân lý</t>
  </si>
  <si>
    <t>Bơm / tiết kiệm nước</t>
  </si>
  <si>
    <t>K02 B7: máy rửa tay V1</t>
  </si>
  <si>
    <t>K02 B8: thời gian bơm V2</t>
  </si>
  <si>
    <t>K02 B11: chậu cây V1</t>
  </si>
  <si>
    <t>K02 B12; K06 B2: cải tiến</t>
  </si>
  <si>
    <t>Chỉ được lúc bật và cách dừng an toàn</t>
  </si>
  <si>
    <t>Cho bơm chạy khô hoặc liên tục</t>
  </si>
  <si>
    <t>Độ ẩm đất</t>
  </si>
  <si>
    <t>K02 B9: mẫu khô–ẩm–ướt</t>
  </si>
  <si>
    <t>K02 B10: đèn báo</t>
  </si>
  <si>
    <t>K02 B11–B12: tự tưới</t>
  </si>
  <si>
    <t>K06 B2: giúp cây</t>
  </si>
  <si>
    <t>Nêu được khác biệt hai mẫu đất và thử được dự đoán</t>
  </si>
  <si>
    <t>Bắt tính % và sai số khi chưa có trực giác</t>
  </si>
  <si>
    <t>Servo</t>
  </si>
  <si>
    <t>K03 B1: cửa giấy</t>
  </si>
  <si>
    <t>K03 B2: barrier</t>
  </si>
  <si>
    <t>K03 B4: thùng rác</t>
  </si>
  <si>
    <t>K04 B7; K05 B11–B12: phóng/gắp</t>
  </si>
  <si>
    <t>Chọn đúng góc/giới hạn cho vật thật</t>
  </si>
  <si>
    <t>Cho servo chạm vật kẹt để kiểm tra</t>
  </si>
  <si>
    <t>Motor DC</t>
  </si>
  <si>
    <t>K04 B1: đĩa quay</t>
  </si>
  <si>
    <t>K04 B3: vòng quay</t>
  </si>
  <si>
    <t>K04 B5: cáp treo</t>
  </si>
  <si>
    <t>K05 B1–B3: chassis</t>
  </si>
  <si>
    <t>Dự đoán chiều quay rồi đổi được</t>
  </si>
  <si>
    <t>Cho trẻ tháo lắp motor đang chạy</t>
  </si>
  <si>
    <t>Ma sát &amp; cân bằng</t>
  </si>
  <si>
    <t>K04 B4: vòng quay</t>
  </si>
  <si>
    <t>K04 B6: cabin có tải</t>
  </si>
  <si>
    <t>K04 B10: cào cào V2</t>
  </si>
  <si>
    <t>K05 B6: chở hàng</t>
  </si>
  <si>
    <t>Thay một chi tiết, có ảnh trước–sau</t>
  </si>
  <si>
    <t>Giảng hệ số ma sát và lực pháp tuyến</t>
  </si>
  <si>
    <t>K01 B7: bác sĩ đèn</t>
  </si>
  <si>
    <t>K02 B6: gậy báo sai</t>
  </si>
  <si>
    <t>K03 B15: test nhà</t>
  </si>
  <si>
    <t>K05 B15, K06 B3: tìm nguyên nhân</t>
  </si>
  <si>
    <t>Nói “lỗi gì → sửa gì → thử lại”</t>
  </si>
  <si>
    <t>GV sửa hộ và chỉ chấm sản phẩm chạy</t>
  </si>
  <si>
    <t>Thiết kế theo người dùng</t>
  </si>
  <si>
    <t>K01 B4: đèn lớp</t>
  </si>
  <si>
    <t>K03 B5: thùng rác</t>
  </si>
  <si>
    <t>K05 B10: xe cứu trợ</t>
  </si>
  <si>
    <t>K06 B1–B16: Inventor</t>
  </si>
  <si>
    <t>Cho bạn khác dùng thử và ghi một thay đổi</t>
  </si>
  <si>
    <t>Bắt viết nhiều biểu mẫu trước khi làm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</si>
</sst>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b/>
      <sz val="15"/>
      <color rgb="FFFFFFFF"/>
      <name val="Carlito"/>
    </font>
    <font>
      <i/>
      <sz val="10"/>
      <color rgb="FF355C7D"/>
      <name val="Carlito"/>
    </font>
    <font>
      <b/>
      <sz val="10"/>
      <color rgb="FF1F2937"/>
      <name val="Carlito"/>
    </font>
    <font>
      <b/>
      <sz val="10"/>
      <color rgb="FF30324C"/>
      <name val="Carlito"/>
    </font>
    <font>
      <sz val="10"/>
      <color rgb="FF1F2937"/>
      <name val="Carlito"/>
    </font>
    <font>
      <b/>
      <sz val="10"/>
      <color rgb="FFFFFFFF"/>
      <name val="Carlito"/>
    </font>
    <font>
      <b/>
      <sz val="11"/>
      <color rgb="FFFFFFFF"/>
      <name val="Carlito"/>
    </font>
    <font>
      <b/>
      <sz val="10"/>
      <name val="Carlito"/>
    </font>
    <font>
      <sz val="9"/>
      <color rgb="FF1F2937"/>
      <name val="Carlito"/>
    </font>
    <font>
      <b/>
      <sz val="9"/>
      <color rgb="FFFFFFFF"/>
      <name val="Carlito"/>
    </font>
    <font>
      <b/>
      <sz val="10"/>
      <color rgb="FF1E5FAF"/>
      <name val="Carlito"/>
    </font>
    <font>
      <b/>
      <sz val="11"/>
      <name val="Carlito"/>
    </font>
    <font>
      <b/>
      <sz val="11"/>
      <color rgb="FF16466B"/>
      <name val="Carlito"/>
    </font>
    <font>
      <b/>
      <sz val="17"/>
      <color rgb="FFFFFFFF"/>
      <name val="Carlito"/>
    </font>
    <font>
      <sz val="11"/>
      <color rgb="FF21435A"/>
      <name val="Carlito"/>
    </font>
    <font>
      <b/>
      <sz val="16"/>
      <color rgb="FFFFFFFF"/>
      <name val="Carlito"/>
    </font>
  </fonts>
  <fills count="39">
    <fill>
      <patternFill patternType="none"/>
    </fill>
    <fill>
      <patternFill patternType="gray125"/>
    </fill>
    <fill>
      <patternFill patternType="solid">
        <fgColor rgb="FF2F80ED"/>
      </patternFill>
    </fill>
    <fill>
      <patternFill patternType="solid">
        <fgColor rgb="FFEAF4FF"/>
      </patternFill>
    </fill>
    <fill>
      <patternFill patternType="solid">
        <fgColor rgb="FFF7FAFE"/>
      </patternFill>
    </fill>
    <fill>
      <patternFill patternType="solid">
        <fgColor rgb="FFE9E6F7"/>
      </patternFill>
    </fill>
    <fill>
      <patternFill patternType="solid">
        <fgColor rgb="FFF8F7FF"/>
      </patternFill>
    </fill>
    <fill>
      <patternFill patternType="solid">
        <fgColor rgb="FFE3F5E7"/>
      </patternFill>
    </fill>
    <fill>
      <patternFill patternType="solid">
        <fgColor rgb="FF1E5FAF"/>
      </patternFill>
    </fill>
    <fill>
      <patternFill patternType="solid">
        <fgColor rgb="FFF6F9FD"/>
      </patternFill>
    </fill>
    <fill>
      <patternFill patternType="solid">
        <fgColor rgb="FF6A1B9A"/>
      </patternFill>
    </fill>
    <fill>
      <patternFill patternType="solid">
        <fgColor rgb="FFF4EAF8"/>
      </patternFill>
    </fill>
    <fill>
      <patternFill patternType="solid">
        <fgColor rgb="FFDCEBFA"/>
      </patternFill>
    </fill>
    <fill>
      <patternFill patternType="solid">
        <fgColor rgb="FFF5F8FC"/>
      </patternFill>
    </fill>
    <fill>
      <patternFill patternType="solid">
        <fgColor rgb="FFFDECEC"/>
      </patternFill>
    </fill>
    <fill>
      <patternFill patternType="solid">
        <fgColor rgb="FFF5F9FF"/>
      </patternFill>
    </fill>
    <fill>
      <patternFill patternType="solid">
        <fgColor rgb="FF16466B"/>
      </patternFill>
    </fill>
    <fill>
      <patternFill patternType="solid">
        <fgColor rgb="FFFFFFFF"/>
      </patternFill>
    </fill>
    <fill>
      <patternFill patternType="solid">
        <fgColor rgb="FFFEF3D3"/>
      </patternFill>
    </fill>
    <fill>
      <patternFill patternType="solid">
        <fgColor rgb="FFE8F7F1"/>
      </patternFill>
    </fill>
    <fill>
      <patternFill patternType="solid">
        <fgColor rgb="FFFCE5E4"/>
      </patternFill>
    </fill>
    <fill>
      <patternFill patternType="solid">
        <fgColor rgb="FFEDE8FB"/>
      </patternFill>
    </fill>
    <fill>
      <patternFill patternType="solid">
        <fgColor rgb="FFDDF6E7"/>
      </patternFill>
    </fill>
    <fill>
      <patternFill patternType="solid">
        <fgColor rgb="FFDCEBFA"/>
      </patternFill>
    </fill>
    <fill>
      <patternFill patternType="solid">
        <fgColor rgb="FFF8FAFC"/>
      </patternFill>
    </fill>
    <fill>
      <patternFill patternType="solid">
        <fgColor rgb="FF123A5F"/>
      </patternFill>
    </fill>
    <fill>
      <patternFill patternType="solid">
        <fgColor rgb="FFEFF6FF"/>
      </patternFill>
    </fill>
    <fill>
      <patternFill patternType="solid">
        <fgColor rgb="FFFFF7D6"/>
      </patternFill>
    </fill>
    <fill>
      <patternFill patternType="solid">
        <fgColor rgb="FFFFFFFF"/>
      </patternFill>
    </fill>
    <fill>
      <patternFill patternType="solid">
        <fgColor rgb="FFEDE9FE"/>
      </patternFill>
    </fill>
    <fill>
      <patternFill patternType="solid">
        <fgColor rgb="FFEAF3FF"/>
      </patternFill>
    </fill>
    <fill>
      <patternFill patternType="solid">
        <fgColor rgb="FFECFDF5"/>
      </patternFill>
    </fill>
    <fill>
      <patternFill patternType="solid">
        <fgColor rgb="FFDCFCE7"/>
      </patternFill>
    </fill>
    <fill>
      <patternFill patternType="solid">
        <fgColor rgb="FF143E68"/>
      </patternFill>
    </fill>
    <fill>
      <patternFill patternType="solid">
        <fgColor rgb="FF173E68"/>
      </patternFill>
    </fill>
    <fill>
      <patternFill patternType="solid">
        <fgColor rgb="FF0B466E"/>
      </patternFill>
    </fill>
    <fill>
      <patternFill patternType="solid">
        <fgColor rgb="FFE6F4FA"/>
      </patternFill>
    </fill>
    <fill>
      <patternFill patternType="solid">
        <fgColor rgb="FF147D99"/>
      </patternFill>
    </fill>
    <fill>
      <patternFill patternType="solid">
        <fgColor rgb="FFEAF6FB"/>
      </patternFill>
    </fill>
  </fills>
  <borders count="2">
    <border>
      <left/>
      <right/>
      <top/>
      <bottom/>
      <diagonal/>
    </border>
    <border>
      <left/>
      <right/>
      <top/>
      <bottom/>
      <diagonal/>
    </border>
  </borders>
  <cellStyleXfs count="1">
    <xf numFmtId="0" fontId="0" fillId="0" borderId="0"/>
  </cellStyleXfs>
  <cellXfs count="76">
    <xf numFmtId="0" fontId="0" fillId="0" borderId="0" xfId="0"/>
    <xf numFmtId="0" fontId="3" fillId="4" borderId="1" xfId="0" applyNumberFormat="1" applyFont="1" applyFill="1" applyBorder="1" applyAlignment="1">
      <alignment vertical="center"/>
    </xf>
    <xf numFmtId="0" fontId="4" fillId="5" borderId="1" xfId="0" applyNumberFormat="1" applyFont="1" applyFill="1" applyBorder="1" applyAlignment="1">
      <alignment horizontal="center" vertical="center" wrapText="1"/>
    </xf>
    <xf numFmtId="0" fontId="5" fillId="0" borderId="1" xfId="0" applyNumberFormat="1" applyFont="1" applyFill="1" applyBorder="1" applyAlignment="1">
      <alignment vertical="top" wrapText="1"/>
    </xf>
    <xf numFmtId="0" fontId="5" fillId="6" borderId="1" xfId="0" applyNumberFormat="1" applyFont="1" applyFill="1" applyBorder="1" applyAlignment="1">
      <alignment vertical="top" wrapText="1"/>
    </xf>
    <xf numFmtId="0" fontId="6" fillId="2" borderId="1" xfId="0" applyNumberFormat="1" applyFont="1" applyFill="1" applyBorder="1" applyAlignment="1">
      <alignment horizontal="center" vertical="center" wrapText="1"/>
    </xf>
    <xf numFmtId="0" fontId="5" fillId="7" borderId="1" xfId="0" applyNumberFormat="1" applyFont="1" applyFill="1" applyBorder="1" applyAlignment="1">
      <alignment vertical="top" wrapText="1"/>
    </xf>
    <xf numFmtId="0" fontId="8" fillId="5" borderId="1" xfId="0" applyNumberFormat="1" applyFont="1" applyFill="1" applyBorder="1" applyAlignment="1">
      <alignment horizontal="center" wrapText="1"/>
    </xf>
    <xf numFmtId="0" fontId="5" fillId="0" borderId="1" xfId="0" applyNumberFormat="1" applyFont="1" applyFill="1" applyBorder="1" applyAlignment="1">
      <alignment vertical="center" wrapText="1"/>
    </xf>
    <xf numFmtId="0" fontId="11" fillId="12" borderId="1" xfId="0" applyNumberFormat="1" applyFont="1" applyFill="1" applyBorder="1" applyAlignment="1">
      <alignment vertical="top" wrapText="1"/>
    </xf>
    <xf numFmtId="0" fontId="0" fillId="0" borderId="0" xfId="0" applyNumberFormat="1" applyFont="1" applyFill="1" applyBorder="1" applyAlignment="1">
      <alignment wrapText="1"/>
    </xf>
    <xf numFmtId="0" fontId="9" fillId="15" borderId="0" xfId="0" applyNumberFormat="1" applyFont="1" applyFill="1" applyBorder="1" applyAlignment="1">
      <alignment vertical="top" wrapText="1"/>
    </xf>
    <xf numFmtId="0" fontId="9" fillId="17" borderId="0" xfId="0" applyNumberFormat="1" applyFont="1" applyFill="1" applyBorder="1" applyAlignment="1">
      <alignment vertical="top" wrapText="1"/>
    </xf>
    <xf numFmtId="0" fontId="9" fillId="18" borderId="0" xfId="0" applyNumberFormat="1" applyFont="1" applyFill="1" applyBorder="1" applyAlignment="1">
      <alignment vertical="top" wrapText="1"/>
    </xf>
    <xf numFmtId="0" fontId="9" fillId="19" borderId="0" xfId="0" applyNumberFormat="1" applyFont="1" applyFill="1" applyBorder="1" applyAlignment="1">
      <alignment vertical="top" wrapText="1"/>
    </xf>
    <xf numFmtId="0" fontId="9" fillId="20" borderId="0" xfId="0" applyNumberFormat="1" applyFont="1" applyFill="1" applyBorder="1" applyAlignment="1">
      <alignment vertical="top" wrapText="1"/>
    </xf>
    <xf numFmtId="0" fontId="0" fillId="15" borderId="0" xfId="0" applyNumberFormat="1" applyFont="1" applyFill="1" applyBorder="1" applyAlignment="1">
      <alignment wrapText="1"/>
    </xf>
    <xf numFmtId="0" fontId="0" fillId="17" borderId="0" xfId="0" applyNumberFormat="1" applyFont="1" applyFill="1" applyBorder="1" applyAlignment="1">
      <alignment wrapText="1"/>
    </xf>
    <xf numFmtId="0" fontId="0" fillId="21" borderId="0" xfId="0" applyNumberFormat="1" applyFont="1" applyFill="1" applyBorder="1" applyAlignment="1">
      <alignment wrapText="1"/>
    </xf>
    <xf numFmtId="0" fontId="0" fillId="22" borderId="0" xfId="0" applyNumberFormat="1" applyFont="1" applyFill="1" applyBorder="1" applyAlignment="1">
      <alignment wrapText="1"/>
    </xf>
    <xf numFmtId="0" fontId="10" fillId="17" borderId="0" xfId="0" applyNumberFormat="1" applyFont="1" applyFill="1" applyBorder="1" applyAlignment="1">
      <alignment horizontal="center" vertical="top" wrapText="1"/>
    </xf>
    <xf numFmtId="0" fontId="10" fillId="15" borderId="0" xfId="0" applyNumberFormat="1" applyFont="1" applyFill="1" applyBorder="1" applyAlignment="1">
      <alignment horizontal="center" vertical="top" wrapText="1"/>
    </xf>
    <xf numFmtId="0" fontId="10" fillId="18" borderId="0" xfId="0" applyNumberFormat="1" applyFont="1" applyFill="1" applyBorder="1" applyAlignment="1">
      <alignment horizontal="center" vertical="top" wrapText="1"/>
    </xf>
    <xf numFmtId="0" fontId="10" fillId="19" borderId="0" xfId="0" applyNumberFormat="1" applyFont="1" applyFill="1" applyBorder="1" applyAlignment="1">
      <alignment horizontal="center" vertical="top" wrapText="1"/>
    </xf>
    <xf numFmtId="0" fontId="10" fillId="20" borderId="0" xfId="0" applyNumberFormat="1" applyFont="1" applyFill="1" applyBorder="1" applyAlignment="1">
      <alignment horizontal="center" vertical="top" wrapText="1"/>
    </xf>
    <xf numFmtId="0" fontId="10" fillId="21" borderId="0" xfId="0" applyNumberFormat="1" applyFont="1" applyFill="1" applyBorder="1" applyAlignment="1">
      <alignment horizontal="center" vertical="top" wrapText="1"/>
    </xf>
    <xf numFmtId="0" fontId="9" fillId="21" borderId="0" xfId="0" applyNumberFormat="1" applyFont="1" applyFill="1" applyBorder="1" applyAlignment="1">
      <alignment vertical="top" wrapText="1"/>
    </xf>
    <xf numFmtId="0" fontId="10" fillId="22" borderId="0" xfId="0" applyNumberFormat="1" applyFont="1" applyFill="1" applyBorder="1" applyAlignment="1">
      <alignment horizontal="center" vertical="top" wrapText="1"/>
    </xf>
    <xf numFmtId="0" fontId="9" fillId="22" borderId="0" xfId="0" applyNumberFormat="1" applyFont="1" applyFill="1" applyBorder="1" applyAlignment="1">
      <alignment vertical="top" wrapText="1"/>
    </xf>
    <xf numFmtId="0" fontId="12" fillId="17" borderId="0" xfId="0" applyNumberFormat="1" applyFont="1" applyFill="1" applyBorder="1" applyAlignment="1">
      <alignment wrapText="1"/>
    </xf>
    <xf numFmtId="0" fontId="12" fillId="15" borderId="0" xfId="0" applyNumberFormat="1" applyFont="1" applyFill="1" applyBorder="1" applyAlignment="1">
      <alignment wrapText="1"/>
    </xf>
    <xf numFmtId="0" fontId="0" fillId="20" borderId="0" xfId="0" applyNumberFormat="1" applyFont="1" applyFill="1" applyBorder="1" applyAlignment="1">
      <alignment wrapText="1"/>
    </xf>
    <xf numFmtId="0" fontId="12" fillId="20" borderId="0" xfId="0" applyNumberFormat="1" applyFont="1" applyFill="1" applyBorder="1" applyAlignment="1">
      <alignment wrapText="1"/>
    </xf>
    <xf numFmtId="0" fontId="12" fillId="21" borderId="0" xfId="0" applyNumberFormat="1" applyFont="1" applyFill="1" applyBorder="1" applyAlignment="1">
      <alignment wrapText="1"/>
    </xf>
    <xf numFmtId="0" fontId="12" fillId="22" borderId="0" xfId="0" applyNumberFormat="1" applyFont="1" applyFill="1" applyBorder="1" applyAlignment="1">
      <alignment wrapText="1"/>
    </xf>
    <xf numFmtId="0" fontId="0" fillId="18" borderId="0" xfId="0" applyNumberFormat="1" applyFont="1" applyFill="1" applyBorder="1" applyAlignment="1">
      <alignment wrapText="1"/>
    </xf>
    <xf numFmtId="0" fontId="12" fillId="18" borderId="0" xfId="0" applyNumberFormat="1" applyFont="1" applyFill="1" applyBorder="1" applyAlignment="1">
      <alignment wrapText="1"/>
    </xf>
    <xf numFmtId="0" fontId="0" fillId="19" borderId="0" xfId="0" applyNumberFormat="1" applyFont="1" applyFill="1" applyBorder="1" applyAlignment="1">
      <alignment wrapText="1"/>
    </xf>
    <xf numFmtId="0" fontId="12" fillId="19" borderId="0" xfId="0" applyNumberFormat="1" applyFont="1" applyFill="1" applyBorder="1" applyAlignment="1">
      <alignment wrapText="1"/>
    </xf>
    <xf numFmtId="0" fontId="13" fillId="23" borderId="0" xfId="0" applyNumberFormat="1" applyFont="1" applyFill="1" applyBorder="1"/>
    <xf numFmtId="0" fontId="9" fillId="24" borderId="0" xfId="0" applyNumberFormat="1" applyFont="1" applyFill="1" applyBorder="1" applyAlignment="1">
      <alignment vertical="top" wrapText="1"/>
    </xf>
    <xf numFmtId="0" fontId="10" fillId="25" borderId="0" xfId="0" applyNumberFormat="1" applyFont="1" applyFill="1" applyBorder="1" applyAlignment="1">
      <alignment horizontal="center" vertical="center" wrapText="1"/>
    </xf>
    <xf numFmtId="0" fontId="9" fillId="26" borderId="0" xfId="0" applyNumberFormat="1" applyFont="1" applyFill="1" applyBorder="1" applyAlignment="1">
      <alignment vertical="top" wrapText="1"/>
    </xf>
    <xf numFmtId="0" fontId="9" fillId="27" borderId="0" xfId="0" applyNumberFormat="1" applyFont="1" applyFill="1" applyBorder="1" applyAlignment="1">
      <alignment vertical="top" wrapText="1"/>
    </xf>
    <xf numFmtId="0" fontId="9" fillId="28" borderId="0" xfId="0" applyNumberFormat="1" applyFont="1" applyFill="1" applyBorder="1" applyAlignment="1">
      <alignment vertical="top" wrapText="1"/>
    </xf>
    <xf numFmtId="0" fontId="9" fillId="29" borderId="0" xfId="0" applyNumberFormat="1" applyFont="1" applyFill="1" applyBorder="1" applyAlignment="1">
      <alignment vertical="top" wrapText="1"/>
    </xf>
    <xf numFmtId="0" fontId="0" fillId="30" borderId="0" xfId="0" applyNumberFormat="1" applyFont="1" applyFill="1" applyBorder="1" applyAlignment="1">
      <alignment wrapText="1"/>
    </xf>
    <xf numFmtId="0" fontId="7" fillId="25" borderId="0" xfId="0" applyNumberFormat="1" applyFont="1" applyFill="1" applyBorder="1" applyAlignment="1">
      <alignment wrapText="1"/>
    </xf>
    <xf numFmtId="0" fontId="0" fillId="31" borderId="0" xfId="0" applyNumberFormat="1" applyFont="1" applyFill="1" applyBorder="1" applyAlignment="1">
      <alignment wrapText="1"/>
    </xf>
    <xf numFmtId="0" fontId="0" fillId="32" borderId="0" xfId="0" applyNumberFormat="1" applyFont="1" applyFill="1" applyBorder="1" applyAlignment="1">
      <alignment wrapText="1"/>
    </xf>
    <xf numFmtId="0" fontId="6" fillId="33" borderId="0" xfId="0" applyNumberFormat="1" applyFont="1" applyFill="1" applyBorder="1" applyAlignment="1">
      <alignment horizontal="center" vertical="center" wrapText="1"/>
    </xf>
    <xf numFmtId="0" fontId="9" fillId="30" borderId="0" xfId="0" applyNumberFormat="1" applyFont="1" applyFill="1" applyBorder="1" applyAlignment="1">
      <alignment vertical="top" wrapText="1"/>
    </xf>
    <xf numFmtId="0" fontId="0" fillId="26" borderId="0" xfId="0" applyNumberFormat="1" applyFont="1" applyFill="1" applyBorder="1" applyAlignment="1">
      <alignment wrapText="1"/>
    </xf>
    <xf numFmtId="0" fontId="0" fillId="27" borderId="0" xfId="0" applyNumberFormat="1" applyFont="1" applyFill="1" applyBorder="1" applyAlignment="1">
      <alignment wrapText="1"/>
    </xf>
    <xf numFmtId="0" fontId="0" fillId="28" borderId="0" xfId="0" applyNumberFormat="1" applyFont="1" applyFill="1" applyBorder="1" applyAlignment="1">
      <alignment wrapText="1"/>
    </xf>
    <xf numFmtId="0" fontId="0" fillId="24" borderId="0" xfId="0" applyNumberFormat="1" applyFont="1" applyFill="1" applyBorder="1" applyAlignment="1">
      <alignment wrapText="1"/>
    </xf>
    <xf numFmtId="0" fontId="9" fillId="31" borderId="0" xfId="0" applyNumberFormat="1" applyFont="1" applyFill="1" applyBorder="1" applyAlignment="1">
      <alignment vertical="top" wrapText="1"/>
    </xf>
    <xf numFmtId="0" fontId="6" fillId="33" borderId="0" xfId="0" applyNumberFormat="1" applyFont="1" applyFill="1" applyBorder="1" applyAlignment="1">
      <alignment horizontal="center" wrapText="1"/>
    </xf>
    <xf numFmtId="0" fontId="7" fillId="34" borderId="0" xfId="0" applyNumberFormat="1" applyFont="1" applyFill="1" applyBorder="1" applyAlignment="1">
      <alignment wrapText="1"/>
    </xf>
    <xf numFmtId="0" fontId="7" fillId="37" borderId="0" xfId="0" applyNumberFormat="1" applyFont="1" applyFill="1" applyBorder="1" applyAlignment="1">
      <alignment wrapText="1"/>
    </xf>
    <xf numFmtId="0" fontId="1" fillId="2" borderId="0" xfId="0" applyNumberFormat="1" applyFont="1" applyFill="1" applyBorder="1" applyAlignment="1">
      <alignment horizontal="center" vertical="center"/>
    </xf>
    <xf numFmtId="0" fontId="2" fillId="3" borderId="0" xfId="0" applyNumberFormat="1" applyFont="1" applyFill="1" applyBorder="1" applyAlignment="1">
      <alignment vertical="center" wrapText="1"/>
    </xf>
    <xf numFmtId="0" fontId="7" fillId="8" borderId="1" xfId="0" applyNumberFormat="1" applyFont="1" applyFill="1" applyBorder="1" applyAlignment="1">
      <alignment horizontal="center" vertical="center"/>
    </xf>
    <xf numFmtId="0" fontId="5" fillId="9" borderId="1" xfId="0" applyNumberFormat="1" applyFont="1" applyFill="1" applyBorder="1" applyAlignment="1">
      <alignment vertical="top" wrapText="1"/>
    </xf>
    <xf numFmtId="0" fontId="6" fillId="8" borderId="1" xfId="0" applyNumberFormat="1" applyFont="1" applyFill="1" applyBorder="1" applyAlignment="1">
      <alignment horizontal="center"/>
    </xf>
    <xf numFmtId="0" fontId="7" fillId="16" borderId="0" xfId="0" applyNumberFormat="1" applyFont="1" applyFill="1" applyBorder="1"/>
    <xf numFmtId="0" fontId="6" fillId="10" borderId="1" xfId="0" applyNumberFormat="1" applyFont="1" applyFill="1" applyBorder="1" applyAlignment="1">
      <alignment horizontal="center"/>
    </xf>
    <xf numFmtId="0" fontId="5" fillId="11" borderId="1" xfId="0" applyNumberFormat="1" applyFont="1" applyFill="1" applyBorder="1" applyAlignment="1">
      <alignment vertical="top" wrapText="1"/>
    </xf>
    <xf numFmtId="0" fontId="6" fillId="16" borderId="1" xfId="0" applyNumberFormat="1" applyFont="1" applyFill="1" applyBorder="1" applyAlignment="1">
      <alignment vertical="top" wrapText="1"/>
    </xf>
    <xf numFmtId="0" fontId="5" fillId="13" borderId="1" xfId="0" applyNumberFormat="1" applyFont="1" applyFill="1" applyBorder="1" applyAlignment="1">
      <alignment vertical="top" wrapText="1"/>
    </xf>
    <xf numFmtId="0" fontId="5" fillId="14" borderId="1" xfId="0" applyNumberFormat="1" applyFont="1" applyFill="1" applyBorder="1" applyAlignment="1">
      <alignment vertical="top" wrapText="1"/>
    </xf>
    <xf numFmtId="0" fontId="0" fillId="0" borderId="0" xfId="0" applyNumberFormat="1" applyFont="1" applyFill="1" applyBorder="1" applyAlignment="1">
      <alignment wrapText="1"/>
    </xf>
    <xf numFmtId="0" fontId="14" fillId="35" borderId="0" xfId="0" applyNumberFormat="1" applyFont="1" applyFill="1" applyBorder="1"/>
    <xf numFmtId="0" fontId="15" fillId="36" borderId="0" xfId="0" applyNumberFormat="1" applyFont="1" applyFill="1" applyBorder="1" applyAlignment="1">
      <alignment wrapText="1"/>
    </xf>
    <xf numFmtId="0" fontId="16" fillId="35" borderId="0" xfId="0" applyNumberFormat="1" applyFont="1" applyFill="1" applyBorder="1"/>
    <xf numFmtId="0" fontId="0" fillId="38" borderId="0" xfId="0" applyNumberFormat="1" applyFont="1" applyFill="1" applyBorder="1" applyAlignment="1">
      <alignment wrapText="1"/>
    </xf>
  </cellXfs>
  <cellStyles count="1">
    <cellStyle name="Normal" xfId="0" builtinId="0"/>
  </cellStyles>
  <dxfs count="6">
    <dxf>
      <font>
        <color rgb="FF991B1B"/>
      </font>
      <fill>
        <patternFill>
          <bgColor rgb="FFFCE8E6"/>
        </patternFill>
      </fill>
    </dxf>
    <dxf>
      <font>
        <color rgb="FF166534"/>
      </font>
      <fill>
        <patternFill>
          <bgColor rgb="FFDFF5E8"/>
        </patternFill>
      </fill>
    </dxf>
    <dxf>
      <font>
        <b/>
      </font>
      <fill>
        <patternFill>
          <bgColor rgb="FFDDEBFF"/>
        </patternFill>
      </fill>
    </dxf>
    <dxf>
      <fill>
        <patternFill>
          <bgColor rgb="FFE3F5E7"/>
        </patternFill>
      </fill>
    </dxf>
    <dxf>
      <fill>
        <patternFill>
          <bgColor rgb="FFFFF8D8"/>
        </patternFill>
      </fill>
    </dxf>
    <dxf>
      <fill>
        <patternFill>
          <bgColor rgb="FFEAF4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llSessionsTable" displayName="AllSessionsTable" ref="A4:M76" totalsRowShown="0">
  <tableColumns count="13">
    <tableColumn id="1" xr3:uid="{00000000-0010-0000-0000-000001000000}" name="Khóa"/>
    <tableColumn id="2" xr3:uid="{00000000-0010-0000-0000-000002000000}" name="Tên khóa"/>
    <tableColumn id="3" xr3:uid="{00000000-0010-0000-0000-000003000000}" name="Tuổi"/>
    <tableColumn id="4" xr3:uid="{00000000-0010-0000-0000-000004000000}" name="Buổi"/>
    <tableColumn id="5" xr3:uid="{00000000-0010-0000-0000-000005000000}" name="Loại buổi"/>
    <tableColumn id="6" xr3:uid="{00000000-0010-0000-0000-000006000000}" name="Chủ đề"/>
    <tableColumn id="7" xr3:uid="{00000000-0010-0000-0000-000007000000}" name="Mục tiêu"/>
    <tableColumn id="8" xr3:uid="{00000000-0010-0000-0000-000008000000}" name="Kiến thức trọng tâm"/>
    <tableColumn id="9" xr3:uid="{00000000-0010-0000-0000-000009000000}" name="Thực hành chính"/>
    <tableColumn id="10" xr3:uid="{00000000-0010-0000-0000-00000A000000}" name="Thử thách/cải tiến"/>
    <tableColumn id="11" xr3:uid="{00000000-0010-0000-0000-00000B000000}" name="Đầu ra"/>
    <tableColumn id="12" xr3:uid="{00000000-0010-0000-0000-00000C000000}" name="Tiêu chí"/>
    <tableColumn id="13" xr3:uid="{00000000-0010-0000-0000-00000D000000}" name="An toà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18" workbookViewId="0">
      <selection sqref="A1:H1"/>
    </sheetView>
  </sheetViews>
  <sheetFormatPr defaultRowHeight="14"/>
  <cols>
    <col min="1" max="1" width="26" customWidth="1"/>
    <col min="2" max="2" width="18" customWidth="1"/>
    <col min="3" max="3" width="58" customWidth="1"/>
    <col min="4" max="4" width="52" customWidth="1"/>
    <col min="5" max="5" width="48" customWidth="1"/>
    <col min="6" max="6" width="35" customWidth="1"/>
    <col min="7" max="7" width="40" customWidth="1"/>
    <col min="8" max="8" width="46" customWidth="1"/>
  </cols>
  <sheetData>
    <row r="1" spans="1:8" ht="18.649999999999999" customHeight="1">
      <c r="A1" s="60" t="s">
        <v>0</v>
      </c>
      <c r="B1" s="60"/>
      <c r="C1" s="60"/>
      <c r="D1" s="60"/>
      <c r="E1" s="60"/>
      <c r="F1" s="60"/>
      <c r="G1" s="60"/>
      <c r="H1" s="60"/>
    </row>
    <row r="2" spans="1:8" ht="17.399999999999999" customHeight="1">
      <c r="A2" s="61" t="s">
        <v>1</v>
      </c>
      <c r="B2" s="61"/>
      <c r="C2" s="61"/>
      <c r="D2" s="61"/>
      <c r="E2" s="61"/>
      <c r="F2" s="61"/>
      <c r="G2" s="61"/>
      <c r="H2" s="61"/>
    </row>
    <row r="4" spans="1:8">
      <c r="A4" s="1" t="s">
        <v>2</v>
      </c>
      <c r="B4" s="1">
        <v>6</v>
      </c>
      <c r="C4" s="1" t="s">
        <v>3</v>
      </c>
      <c r="D4" s="1">
        <v>16</v>
      </c>
      <c r="E4" s="1" t="s">
        <v>4</v>
      </c>
      <c r="F4" s="1">
        <f>B4*D4</f>
        <v>96</v>
      </c>
      <c r="G4" s="1" t="s">
        <v>5</v>
      </c>
      <c r="H4" s="1">
        <f>F4/2</f>
        <v>48</v>
      </c>
    </row>
    <row r="5" spans="1:8">
      <c r="A5" s="1" t="s">
        <v>6</v>
      </c>
      <c r="B5" s="1">
        <v>90</v>
      </c>
      <c r="C5" s="1" t="s">
        <v>7</v>
      </c>
      <c r="D5" s="1">
        <f>F4*B5/60</f>
        <v>144</v>
      </c>
      <c r="E5" s="1" t="s">
        <v>8</v>
      </c>
      <c r="F5" s="1">
        <f>H4/4</f>
        <v>12</v>
      </c>
      <c r="G5" s="1" t="s">
        <v>9</v>
      </c>
      <c r="H5" s="1" t="s">
        <v>10</v>
      </c>
    </row>
    <row r="7" spans="1:8" ht="22.65" customHeight="1">
      <c r="A7" s="2" t="s">
        <v>11</v>
      </c>
      <c r="B7" s="2" t="s">
        <v>12</v>
      </c>
      <c r="C7" s="2" t="s">
        <v>13</v>
      </c>
      <c r="D7" s="2" t="s">
        <v>14</v>
      </c>
      <c r="E7" s="2" t="s">
        <v>15</v>
      </c>
      <c r="F7" s="2" t="s">
        <v>16</v>
      </c>
      <c r="G7" s="2" t="s">
        <v>17</v>
      </c>
      <c r="H7" s="2" t="s">
        <v>18</v>
      </c>
    </row>
    <row r="8" spans="1:8" ht="25">
      <c r="A8" s="5" t="s">
        <v>19</v>
      </c>
      <c r="B8" s="4" t="s">
        <v>20</v>
      </c>
      <c r="C8" s="4" t="s">
        <v>21</v>
      </c>
      <c r="D8" s="4" t="s">
        <v>22</v>
      </c>
      <c r="E8" s="4" t="s">
        <v>23</v>
      </c>
      <c r="F8" s="4" t="s">
        <v>24</v>
      </c>
      <c r="G8" s="4" t="s">
        <v>25</v>
      </c>
      <c r="H8" s="4" t="s">
        <v>26</v>
      </c>
    </row>
    <row r="9" spans="1:8" ht="37.5">
      <c r="A9" s="5" t="s">
        <v>27</v>
      </c>
      <c r="B9" s="4" t="s">
        <v>28</v>
      </c>
      <c r="C9" s="4" t="s">
        <v>29</v>
      </c>
      <c r="D9" s="4" t="s">
        <v>30</v>
      </c>
      <c r="E9" s="4" t="s">
        <v>31</v>
      </c>
      <c r="F9" s="4" t="s">
        <v>32</v>
      </c>
      <c r="G9" s="4" t="s">
        <v>33</v>
      </c>
      <c r="H9" s="4" t="s">
        <v>34</v>
      </c>
    </row>
    <row r="10" spans="1:8" ht="37.5">
      <c r="A10" s="5" t="s">
        <v>35</v>
      </c>
      <c r="B10" s="4" t="s">
        <v>36</v>
      </c>
      <c r="C10" s="4" t="s">
        <v>37</v>
      </c>
      <c r="D10" s="4" t="s">
        <v>38</v>
      </c>
      <c r="E10" s="4" t="s">
        <v>39</v>
      </c>
      <c r="F10" s="4" t="s">
        <v>40</v>
      </c>
      <c r="G10" s="4" t="s">
        <v>41</v>
      </c>
      <c r="H10" s="4" t="s">
        <v>42</v>
      </c>
    </row>
    <row r="11" spans="1:8" ht="37.5">
      <c r="A11" s="5" t="s">
        <v>43</v>
      </c>
      <c r="B11" s="4" t="s">
        <v>44</v>
      </c>
      <c r="C11" s="4" t="s">
        <v>37</v>
      </c>
      <c r="D11" s="4" t="s">
        <v>45</v>
      </c>
      <c r="E11" s="4" t="s">
        <v>46</v>
      </c>
      <c r="F11" s="4" t="s">
        <v>47</v>
      </c>
      <c r="G11" s="4" t="s">
        <v>48</v>
      </c>
      <c r="H11" s="4" t="s">
        <v>49</v>
      </c>
    </row>
    <row r="12" spans="1:8" ht="37.5">
      <c r="A12" s="5" t="s">
        <v>50</v>
      </c>
      <c r="B12" s="4" t="s">
        <v>51</v>
      </c>
      <c r="C12" s="4" t="s">
        <v>52</v>
      </c>
      <c r="D12" s="4" t="s">
        <v>53</v>
      </c>
      <c r="E12" s="4" t="s">
        <v>54</v>
      </c>
      <c r="F12" s="4" t="s">
        <v>55</v>
      </c>
      <c r="G12" s="4" t="s">
        <v>56</v>
      </c>
      <c r="H12" s="4" t="s">
        <v>57</v>
      </c>
    </row>
    <row r="13" spans="1:8" ht="37.5">
      <c r="A13" s="5" t="s">
        <v>58</v>
      </c>
      <c r="B13" s="6" t="s">
        <v>59</v>
      </c>
      <c r="C13" s="6" t="s">
        <v>60</v>
      </c>
      <c r="D13" s="6" t="s">
        <v>61</v>
      </c>
      <c r="E13" s="6" t="s">
        <v>62</v>
      </c>
      <c r="F13" s="6" t="s">
        <v>63</v>
      </c>
      <c r="G13" s="6" t="s">
        <v>64</v>
      </c>
      <c r="H13" s="6" t="s">
        <v>65</v>
      </c>
    </row>
    <row r="15" spans="1:8" ht="16" customHeight="1">
      <c r="A15" s="62" t="s">
        <v>66</v>
      </c>
      <c r="B15" s="62"/>
      <c r="C15" s="62"/>
      <c r="D15" s="62"/>
      <c r="E15" s="62"/>
      <c r="F15" s="62"/>
      <c r="G15" s="62"/>
      <c r="H15" s="62"/>
    </row>
    <row r="16" spans="1:8" ht="16" customHeight="1">
      <c r="A16" s="63" t="s">
        <v>67</v>
      </c>
      <c r="B16" s="63"/>
      <c r="C16" s="63"/>
      <c r="D16" s="63"/>
      <c r="E16" s="63"/>
      <c r="F16" s="63"/>
      <c r="G16" s="63"/>
      <c r="H16" s="63"/>
    </row>
    <row r="17" spans="1:8" ht="16" customHeight="1">
      <c r="A17" s="63"/>
      <c r="B17" s="63"/>
      <c r="C17" s="63"/>
      <c r="D17" s="63"/>
      <c r="E17" s="63"/>
      <c r="F17" s="63"/>
      <c r="G17" s="63"/>
      <c r="H17" s="63"/>
    </row>
    <row r="18" spans="1:8" ht="51.5" customHeight="1">
      <c r="A18" s="63"/>
      <c r="B18" s="63"/>
      <c r="C18" s="63"/>
      <c r="D18" s="63"/>
      <c r="E18" s="63"/>
      <c r="F18" s="63"/>
      <c r="G18" s="63"/>
      <c r="H18" s="63"/>
    </row>
    <row r="20" spans="1:8">
      <c r="A20" s="64" t="s">
        <v>68</v>
      </c>
      <c r="B20" s="64"/>
      <c r="C20" s="64"/>
      <c r="D20" s="64"/>
      <c r="E20" s="64"/>
      <c r="F20" s="64"/>
      <c r="G20" s="64"/>
      <c r="H20" s="64"/>
    </row>
    <row r="21" spans="1:8">
      <c r="A21" s="7" t="s">
        <v>69</v>
      </c>
      <c r="B21" s="7" t="s">
        <v>19</v>
      </c>
      <c r="C21" s="7" t="s">
        <v>27</v>
      </c>
      <c r="D21" s="7" t="s">
        <v>35</v>
      </c>
      <c r="E21" s="7" t="s">
        <v>43</v>
      </c>
      <c r="F21" s="7" t="s">
        <v>50</v>
      </c>
      <c r="G21" s="7" t="s">
        <v>58</v>
      </c>
      <c r="H21" s="7" t="s">
        <v>70</v>
      </c>
    </row>
    <row r="22" spans="1:8" ht="39" customHeight="1">
      <c r="A22" s="3" t="s">
        <v>71</v>
      </c>
      <c r="B22" s="3" t="s">
        <v>72</v>
      </c>
      <c r="C22" s="3" t="s">
        <v>73</v>
      </c>
      <c r="D22" s="3" t="s">
        <v>74</v>
      </c>
      <c r="E22" s="3" t="s">
        <v>75</v>
      </c>
      <c r="F22" s="3" t="s">
        <v>76</v>
      </c>
      <c r="G22" s="3" t="s">
        <v>77</v>
      </c>
      <c r="H22" s="3" t="s">
        <v>78</v>
      </c>
    </row>
    <row r="23" spans="1:8" ht="18.649999999999999" customHeight="1">
      <c r="A23" s="3" t="s">
        <v>79</v>
      </c>
      <c r="B23" s="3" t="s">
        <v>80</v>
      </c>
      <c r="C23" s="3" t="s">
        <v>81</v>
      </c>
      <c r="D23" s="3" t="s">
        <v>82</v>
      </c>
      <c r="E23" s="3" t="s">
        <v>83</v>
      </c>
      <c r="F23" s="3" t="s">
        <v>84</v>
      </c>
      <c r="G23" s="3" t="s">
        <v>85</v>
      </c>
      <c r="H23" s="3" t="s">
        <v>86</v>
      </c>
    </row>
    <row r="24" spans="1:8" ht="18.649999999999999" customHeight="1">
      <c r="A24" s="3" t="s">
        <v>87</v>
      </c>
      <c r="B24" s="3" t="s">
        <v>88</v>
      </c>
      <c r="C24" s="3" t="s">
        <v>89</v>
      </c>
      <c r="D24" s="3" t="s">
        <v>90</v>
      </c>
      <c r="E24" s="3" t="s">
        <v>91</v>
      </c>
      <c r="F24" s="3" t="s">
        <v>92</v>
      </c>
      <c r="G24" s="3" t="s">
        <v>93</v>
      </c>
      <c r="H24" s="3" t="s">
        <v>94</v>
      </c>
    </row>
    <row r="25" spans="1:8" ht="18.649999999999999" customHeight="1">
      <c r="A25" s="3" t="s">
        <v>95</v>
      </c>
      <c r="B25" s="3" t="s">
        <v>96</v>
      </c>
      <c r="C25" s="3" t="s">
        <v>97</v>
      </c>
      <c r="D25" s="3" t="s">
        <v>98</v>
      </c>
      <c r="E25" s="3" t="s">
        <v>99</v>
      </c>
      <c r="F25" s="3" t="s">
        <v>100</v>
      </c>
      <c r="G25" s="3" t="s">
        <v>101</v>
      </c>
      <c r="H25" s="3" t="s">
        <v>102</v>
      </c>
    </row>
    <row r="26" spans="1:8" ht="18.649999999999999" customHeight="1">
      <c r="A26" s="3" t="s">
        <v>103</v>
      </c>
      <c r="B26" s="3" t="s">
        <v>104</v>
      </c>
      <c r="C26" s="3" t="s">
        <v>105</v>
      </c>
      <c r="D26" s="3" t="s">
        <v>106</v>
      </c>
      <c r="E26" s="3" t="s">
        <v>107</v>
      </c>
      <c r="F26" s="3" t="s">
        <v>108</v>
      </c>
      <c r="G26" s="3" t="s">
        <v>109</v>
      </c>
      <c r="H26" s="3" t="s">
        <v>110</v>
      </c>
    </row>
    <row r="28" spans="1:8" ht="20" customHeight="1">
      <c r="A28" s="65" t="s">
        <v>111</v>
      </c>
      <c r="B28" s="65"/>
      <c r="C28" s="65"/>
      <c r="D28" s="65"/>
      <c r="E28" s="65"/>
      <c r="F28" s="65"/>
      <c r="G28" s="65"/>
      <c r="H28" s="65"/>
    </row>
    <row r="30" spans="1:8" ht="18" customHeight="1">
      <c r="A30" s="39" t="s">
        <v>112</v>
      </c>
      <c r="B30" s="39" t="s">
        <v>113</v>
      </c>
      <c r="C30" s="39" t="s">
        <v>114</v>
      </c>
      <c r="D30" s="39" t="s">
        <v>115</v>
      </c>
    </row>
    <row r="31" spans="1:8" ht="32" customHeight="1">
      <c r="A31" s="10" t="s">
        <v>116</v>
      </c>
      <c r="B31" s="10" t="s">
        <v>117</v>
      </c>
      <c r="C31" s="10" t="s">
        <v>118</v>
      </c>
      <c r="D31" s="10" t="s">
        <v>119</v>
      </c>
    </row>
    <row r="32" spans="1:8" ht="32" customHeight="1">
      <c r="A32" s="10" t="s">
        <v>120</v>
      </c>
      <c r="B32" s="10" t="s">
        <v>121</v>
      </c>
      <c r="C32" s="10" t="s">
        <v>122</v>
      </c>
      <c r="D32" s="10" t="s">
        <v>123</v>
      </c>
    </row>
    <row r="33" spans="1:4" ht="32" customHeight="1">
      <c r="A33" s="10" t="s">
        <v>124</v>
      </c>
      <c r="B33" s="10" t="s">
        <v>125</v>
      </c>
      <c r="C33" s="10" t="s">
        <v>126</v>
      </c>
      <c r="D33" s="10" t="s">
        <v>127</v>
      </c>
    </row>
    <row r="34" spans="1:4" ht="32" customHeight="1">
      <c r="A34" s="10" t="s">
        <v>128</v>
      </c>
      <c r="B34" s="10" t="s">
        <v>129</v>
      </c>
      <c r="C34" s="10" t="s">
        <v>130</v>
      </c>
      <c r="D34" s="10" t="s">
        <v>131</v>
      </c>
    </row>
    <row r="35" spans="1:4" ht="32" customHeight="1">
      <c r="A35" s="10" t="s">
        <v>132</v>
      </c>
      <c r="B35" s="10" t="s">
        <v>133</v>
      </c>
      <c r="C35" s="10" t="s">
        <v>134</v>
      </c>
      <c r="D35" s="10" t="s">
        <v>135</v>
      </c>
    </row>
    <row r="36" spans="1:4" ht="32" customHeight="1">
      <c r="A36" s="10" t="s">
        <v>136</v>
      </c>
      <c r="B36" s="10" t="s">
        <v>137</v>
      </c>
      <c r="C36" s="10" t="s">
        <v>138</v>
      </c>
      <c r="D36" s="10" t="s">
        <v>139</v>
      </c>
    </row>
  </sheetData>
  <mergeCells count="6">
    <mergeCell ref="A28:H28"/>
    <mergeCell ref="A1:H1"/>
    <mergeCell ref="A2:H2"/>
    <mergeCell ref="A15:H15"/>
    <mergeCell ref="A16:H18"/>
    <mergeCell ref="A20:H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
  <sheetViews>
    <sheetView topLeftCell="A19" workbookViewId="0">
      <selection sqref="A1:G1"/>
    </sheetView>
  </sheetViews>
  <sheetFormatPr defaultRowHeight="14"/>
  <cols>
    <col min="1" max="1" width="27" customWidth="1"/>
    <col min="2" max="7" width="36" customWidth="1"/>
  </cols>
  <sheetData>
    <row r="1" spans="1:7" ht="18.649999999999999" customHeight="1">
      <c r="A1" s="60" t="s">
        <v>140</v>
      </c>
      <c r="B1" s="60"/>
      <c r="C1" s="60"/>
      <c r="D1" s="60"/>
      <c r="E1" s="60"/>
      <c r="F1" s="60"/>
      <c r="G1" s="60"/>
    </row>
    <row r="2" spans="1:7" ht="17.399999999999999" customHeight="1">
      <c r="A2" s="61" t="s">
        <v>141</v>
      </c>
      <c r="B2" s="61"/>
      <c r="C2" s="61"/>
      <c r="D2" s="61"/>
      <c r="E2" s="61"/>
      <c r="F2" s="61"/>
      <c r="G2" s="61"/>
    </row>
    <row r="4" spans="1:7">
      <c r="A4" s="7" t="s">
        <v>142</v>
      </c>
      <c r="B4" s="7" t="s">
        <v>143</v>
      </c>
      <c r="C4" s="7" t="s">
        <v>144</v>
      </c>
      <c r="D4" s="7" t="s">
        <v>145</v>
      </c>
      <c r="E4" s="7" t="s">
        <v>146</v>
      </c>
      <c r="F4" s="7" t="s">
        <v>147</v>
      </c>
      <c r="G4" s="7" t="s">
        <v>148</v>
      </c>
    </row>
    <row r="5" spans="1:7" ht="25">
      <c r="A5" s="3" t="s">
        <v>19</v>
      </c>
      <c r="B5" s="3" t="s">
        <v>149</v>
      </c>
      <c r="C5" s="3" t="s">
        <v>150</v>
      </c>
      <c r="D5" s="3" t="s">
        <v>151</v>
      </c>
      <c r="E5" s="3" t="s">
        <v>152</v>
      </c>
      <c r="F5" s="3" t="s">
        <v>153</v>
      </c>
      <c r="G5" s="3" t="s">
        <v>154</v>
      </c>
    </row>
    <row r="6" spans="1:7" ht="37.5">
      <c r="A6" s="3" t="s">
        <v>27</v>
      </c>
      <c r="B6" s="3" t="s">
        <v>155</v>
      </c>
      <c r="C6" s="3" t="s">
        <v>156</v>
      </c>
      <c r="D6" s="3" t="s">
        <v>157</v>
      </c>
      <c r="E6" s="3" t="s">
        <v>158</v>
      </c>
      <c r="F6" s="3" t="s">
        <v>159</v>
      </c>
      <c r="G6" s="3" t="s">
        <v>160</v>
      </c>
    </row>
    <row r="7" spans="1:7" ht="25">
      <c r="A7" s="3" t="s">
        <v>35</v>
      </c>
      <c r="B7" s="3" t="s">
        <v>161</v>
      </c>
      <c r="C7" s="3" t="s">
        <v>162</v>
      </c>
      <c r="D7" s="3" t="s">
        <v>163</v>
      </c>
      <c r="E7" s="3" t="s">
        <v>164</v>
      </c>
      <c r="F7" s="3" t="s">
        <v>165</v>
      </c>
      <c r="G7" s="3" t="s">
        <v>166</v>
      </c>
    </row>
    <row r="8" spans="1:7" ht="25">
      <c r="A8" s="3" t="s">
        <v>43</v>
      </c>
      <c r="B8" s="3" t="s">
        <v>167</v>
      </c>
      <c r="C8" s="3" t="s">
        <v>168</v>
      </c>
      <c r="D8" s="3" t="s">
        <v>169</v>
      </c>
      <c r="E8" s="3" t="s">
        <v>170</v>
      </c>
      <c r="F8" s="3" t="s">
        <v>171</v>
      </c>
      <c r="G8" s="3" t="s">
        <v>172</v>
      </c>
    </row>
    <row r="9" spans="1:7" ht="25">
      <c r="A9" s="3" t="s">
        <v>50</v>
      </c>
      <c r="B9" s="3" t="s">
        <v>173</v>
      </c>
      <c r="C9" s="3" t="s">
        <v>174</v>
      </c>
      <c r="D9" s="3" t="s">
        <v>175</v>
      </c>
      <c r="E9" s="3" t="s">
        <v>176</v>
      </c>
      <c r="F9" s="3" t="s">
        <v>177</v>
      </c>
      <c r="G9" s="3" t="s">
        <v>178</v>
      </c>
    </row>
    <row r="10" spans="1:7" ht="25">
      <c r="A10" s="3" t="s">
        <v>58</v>
      </c>
      <c r="B10" s="3" t="s">
        <v>179</v>
      </c>
      <c r="C10" s="3" t="s">
        <v>180</v>
      </c>
      <c r="D10" s="3" t="s">
        <v>181</v>
      </c>
      <c r="E10" s="3" t="s">
        <v>182</v>
      </c>
      <c r="F10" s="3" t="s">
        <v>183</v>
      </c>
      <c r="G10" s="3" t="s">
        <v>184</v>
      </c>
    </row>
    <row r="12" spans="1:7">
      <c r="A12" s="64" t="s">
        <v>185</v>
      </c>
      <c r="B12" s="64"/>
      <c r="C12" s="64"/>
      <c r="D12" s="64"/>
      <c r="E12" s="64"/>
      <c r="F12" s="64"/>
      <c r="G12" s="64"/>
    </row>
    <row r="13" spans="1:7">
      <c r="A13" s="7" t="s">
        <v>186</v>
      </c>
      <c r="B13" s="7" t="s">
        <v>187</v>
      </c>
      <c r="C13" s="7" t="s">
        <v>188</v>
      </c>
      <c r="D13" s="7" t="s">
        <v>189</v>
      </c>
      <c r="E13" s="7" t="s">
        <v>190</v>
      </c>
      <c r="F13" s="7" t="s">
        <v>191</v>
      </c>
      <c r="G13" s="7" t="s">
        <v>192</v>
      </c>
    </row>
    <row r="14" spans="1:7">
      <c r="A14" s="3" t="s">
        <v>193</v>
      </c>
      <c r="B14" s="3" t="s">
        <v>194</v>
      </c>
      <c r="C14" s="3" t="s">
        <v>195</v>
      </c>
      <c r="D14" s="3" t="s">
        <v>196</v>
      </c>
      <c r="E14" s="3" t="s">
        <v>197</v>
      </c>
      <c r="F14" s="3" t="s">
        <v>198</v>
      </c>
      <c r="G14" s="3" t="s">
        <v>199</v>
      </c>
    </row>
    <row r="15" spans="1:7">
      <c r="A15" s="3" t="s">
        <v>200</v>
      </c>
      <c r="B15" s="3" t="s">
        <v>201</v>
      </c>
      <c r="C15" s="3" t="s">
        <v>202</v>
      </c>
      <c r="D15" s="3" t="s">
        <v>203</v>
      </c>
      <c r="E15" s="3" t="s">
        <v>204</v>
      </c>
      <c r="F15" s="3" t="s">
        <v>205</v>
      </c>
      <c r="G15" s="3" t="s">
        <v>206</v>
      </c>
    </row>
    <row r="16" spans="1:7">
      <c r="A16" s="3" t="s">
        <v>207</v>
      </c>
      <c r="B16" s="3" t="s">
        <v>208</v>
      </c>
      <c r="C16" s="3" t="s">
        <v>209</v>
      </c>
      <c r="D16" s="3" t="s">
        <v>210</v>
      </c>
      <c r="E16" s="3" t="s">
        <v>211</v>
      </c>
      <c r="F16" s="3" t="s">
        <v>212</v>
      </c>
      <c r="G16" s="3" t="s">
        <v>213</v>
      </c>
    </row>
    <row r="17" spans="1:7">
      <c r="A17" s="3" t="s">
        <v>214</v>
      </c>
      <c r="B17" s="3" t="s">
        <v>215</v>
      </c>
      <c r="C17" s="3" t="s">
        <v>216</v>
      </c>
      <c r="D17" s="3" t="s">
        <v>217</v>
      </c>
      <c r="E17" s="3" t="s">
        <v>218</v>
      </c>
      <c r="F17" s="3" t="s">
        <v>219</v>
      </c>
      <c r="G17" s="3" t="s">
        <v>220</v>
      </c>
    </row>
    <row r="18" spans="1:7">
      <c r="A18" s="3" t="s">
        <v>221</v>
      </c>
      <c r="B18" s="3" t="s">
        <v>222</v>
      </c>
      <c r="C18" s="3" t="s">
        <v>223</v>
      </c>
      <c r="D18" s="3" t="s">
        <v>224</v>
      </c>
      <c r="E18" s="3" t="s">
        <v>225</v>
      </c>
      <c r="F18" s="3" t="s">
        <v>226</v>
      </c>
      <c r="G18" s="3" t="s">
        <v>227</v>
      </c>
    </row>
    <row r="19" spans="1:7">
      <c r="A19" s="3" t="s">
        <v>228</v>
      </c>
      <c r="B19" s="3" t="s">
        <v>194</v>
      </c>
      <c r="C19" s="3" t="s">
        <v>229</v>
      </c>
      <c r="D19" s="3" t="s">
        <v>230</v>
      </c>
      <c r="E19" s="3" t="s">
        <v>231</v>
      </c>
      <c r="F19" s="3" t="s">
        <v>232</v>
      </c>
      <c r="G19" s="3" t="s">
        <v>233</v>
      </c>
    </row>
    <row r="20" spans="1:7">
      <c r="A20" t="s">
        <v>234</v>
      </c>
    </row>
    <row r="21" spans="1:7">
      <c r="A21" s="66" t="s">
        <v>234</v>
      </c>
      <c r="B21" s="66"/>
      <c r="C21" s="66"/>
      <c r="D21" s="66"/>
      <c r="E21" s="66"/>
      <c r="F21" s="66"/>
      <c r="G21" s="66"/>
    </row>
    <row r="22" spans="1:7" ht="22.65" customHeight="1">
      <c r="A22" s="67" t="s">
        <v>235</v>
      </c>
      <c r="B22" s="67"/>
      <c r="C22" s="67"/>
      <c r="D22" s="67"/>
      <c r="E22" s="67"/>
      <c r="F22" s="67"/>
      <c r="G22" s="67"/>
    </row>
    <row r="23" spans="1:7" ht="21.4" customHeight="1">
      <c r="A23" s="68" t="s">
        <v>236</v>
      </c>
      <c r="B23" s="68"/>
      <c r="C23" s="68"/>
      <c r="D23" s="68"/>
      <c r="E23" s="68"/>
      <c r="F23" s="68"/>
      <c r="G23" s="68"/>
    </row>
    <row r="24" spans="1:7" ht="22.65" customHeight="1">
      <c r="A24" s="39" t="s">
        <v>237</v>
      </c>
      <c r="B24" s="39" t="s">
        <v>238</v>
      </c>
      <c r="C24" s="39" t="s">
        <v>239</v>
      </c>
      <c r="D24" s="39" t="s">
        <v>240</v>
      </c>
      <c r="E24" s="39" t="s">
        <v>241</v>
      </c>
      <c r="F24" s="39" t="s">
        <v>242</v>
      </c>
      <c r="G24" s="39" t="s">
        <v>191</v>
      </c>
    </row>
    <row r="25" spans="1:7" ht="52" customHeight="1">
      <c r="A25" s="10" t="s">
        <v>243</v>
      </c>
      <c r="B25" s="10" t="s">
        <v>244</v>
      </c>
      <c r="C25" s="10" t="s">
        <v>245</v>
      </c>
      <c r="D25" s="10" t="s">
        <v>246</v>
      </c>
      <c r="E25" s="10" t="s">
        <v>247</v>
      </c>
      <c r="F25" s="10" t="s">
        <v>248</v>
      </c>
      <c r="G25" s="10" t="s">
        <v>249</v>
      </c>
    </row>
    <row r="26" spans="1:7" ht="52" customHeight="1">
      <c r="A26" s="10" t="s">
        <v>250</v>
      </c>
      <c r="B26" s="10" t="s">
        <v>251</v>
      </c>
      <c r="C26" s="10" t="s">
        <v>252</v>
      </c>
      <c r="D26" s="10" t="s">
        <v>253</v>
      </c>
      <c r="E26" s="10" t="s">
        <v>254</v>
      </c>
      <c r="F26" s="10" t="s">
        <v>255</v>
      </c>
      <c r="G26" s="10" t="s">
        <v>256</v>
      </c>
    </row>
    <row r="27" spans="1:7" ht="52" customHeight="1">
      <c r="A27" s="10" t="s">
        <v>257</v>
      </c>
      <c r="B27" s="10" t="s">
        <v>258</v>
      </c>
      <c r="C27" s="10" t="s">
        <v>259</v>
      </c>
      <c r="D27" s="10" t="s">
        <v>260</v>
      </c>
      <c r="E27" s="10" t="s">
        <v>261</v>
      </c>
      <c r="F27" s="10" t="s">
        <v>262</v>
      </c>
      <c r="G27" s="10" t="s">
        <v>263</v>
      </c>
    </row>
    <row r="28" spans="1:7" ht="52" customHeight="1">
      <c r="A28" s="10" t="s">
        <v>264</v>
      </c>
      <c r="B28" s="10" t="s">
        <v>265</v>
      </c>
      <c r="C28" s="10" t="s">
        <v>266</v>
      </c>
      <c r="D28" s="10" t="s">
        <v>267</v>
      </c>
      <c r="E28" s="10" t="s">
        <v>268</v>
      </c>
      <c r="F28" s="10" t="s">
        <v>269</v>
      </c>
      <c r="G28" s="10" t="s">
        <v>270</v>
      </c>
    </row>
    <row r="29" spans="1:7" ht="52" customHeight="1">
      <c r="A29" s="10" t="s">
        <v>271</v>
      </c>
      <c r="B29" s="10" t="s">
        <v>272</v>
      </c>
      <c r="C29" s="10" t="s">
        <v>273</v>
      </c>
      <c r="D29" s="10" t="s">
        <v>274</v>
      </c>
      <c r="E29" s="10" t="s">
        <v>275</v>
      </c>
      <c r="F29" s="10" t="s">
        <v>276</v>
      </c>
      <c r="G29" s="10" t="s">
        <v>277</v>
      </c>
    </row>
  </sheetData>
  <mergeCells count="5">
    <mergeCell ref="A1:G1"/>
    <mergeCell ref="A2:G2"/>
    <mergeCell ref="A12:G12"/>
    <mergeCell ref="A21:G21"/>
    <mergeCell ref="A22:G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workbookViewId="0">
      <selection sqref="A1:H1"/>
    </sheetView>
  </sheetViews>
  <sheetFormatPr defaultRowHeight="14"/>
  <cols>
    <col min="1" max="1" width="30" customWidth="1"/>
    <col min="2" max="7" width="10" customWidth="1"/>
    <col min="8" max="8" width="52" customWidth="1"/>
  </cols>
  <sheetData>
    <row r="1" spans="1:8" ht="18.649999999999999" customHeight="1">
      <c r="A1" s="60" t="s">
        <v>278</v>
      </c>
      <c r="B1" s="60"/>
      <c r="C1" s="60"/>
      <c r="D1" s="60"/>
      <c r="E1" s="60"/>
      <c r="F1" s="60"/>
      <c r="G1" s="60"/>
      <c r="H1" s="60"/>
    </row>
    <row r="2" spans="1:8" ht="17.399999999999999" customHeight="1">
      <c r="A2" s="61" t="s">
        <v>279</v>
      </c>
      <c r="B2" s="61"/>
      <c r="C2" s="61"/>
      <c r="D2" s="61"/>
      <c r="E2" s="61"/>
      <c r="F2" s="61"/>
      <c r="G2" s="61"/>
      <c r="H2" s="61"/>
    </row>
    <row r="4" spans="1:8">
      <c r="A4" s="7" t="s">
        <v>280</v>
      </c>
      <c r="B4" s="7" t="s">
        <v>19</v>
      </c>
      <c r="C4" s="7" t="s">
        <v>27</v>
      </c>
      <c r="D4" s="7" t="s">
        <v>35</v>
      </c>
      <c r="E4" s="7" t="s">
        <v>43</v>
      </c>
      <c r="F4" s="7" t="s">
        <v>50</v>
      </c>
      <c r="G4" s="7" t="s">
        <v>58</v>
      </c>
      <c r="H4" s="7" t="s">
        <v>281</v>
      </c>
    </row>
    <row r="5" spans="1:8">
      <c r="A5" s="8" t="s">
        <v>282</v>
      </c>
      <c r="B5" s="8" t="s">
        <v>283</v>
      </c>
      <c r="C5" s="8" t="s">
        <v>284</v>
      </c>
      <c r="D5" s="8" t="s">
        <v>285</v>
      </c>
      <c r="E5" s="8" t="s">
        <v>284</v>
      </c>
      <c r="F5" s="8" t="s">
        <v>285</v>
      </c>
      <c r="G5" s="8" t="s">
        <v>285</v>
      </c>
      <c r="H5" s="8" t="s">
        <v>286</v>
      </c>
    </row>
    <row r="6" spans="1:8">
      <c r="A6" s="8" t="s">
        <v>287</v>
      </c>
      <c r="B6" s="8" t="s">
        <v>283</v>
      </c>
      <c r="C6" s="8" t="s">
        <v>284</v>
      </c>
      <c r="D6" s="8" t="s">
        <v>284</v>
      </c>
      <c r="E6" s="8" t="s">
        <v>284</v>
      </c>
      <c r="F6" s="8" t="s">
        <v>285</v>
      </c>
      <c r="G6" s="8" t="s">
        <v>285</v>
      </c>
      <c r="H6" s="8" t="s">
        <v>288</v>
      </c>
    </row>
    <row r="7" spans="1:8">
      <c r="A7" s="8" t="s">
        <v>289</v>
      </c>
      <c r="B7" s="8" t="s">
        <v>283</v>
      </c>
      <c r="C7" s="8" t="s">
        <v>284</v>
      </c>
      <c r="D7" s="8" t="s">
        <v>284</v>
      </c>
      <c r="E7" s="8" t="s">
        <v>290</v>
      </c>
      <c r="F7" s="8" t="s">
        <v>284</v>
      </c>
      <c r="G7" s="8" t="s">
        <v>285</v>
      </c>
      <c r="H7" s="8" t="s">
        <v>291</v>
      </c>
    </row>
    <row r="8" spans="1:8">
      <c r="A8" s="8" t="s">
        <v>292</v>
      </c>
      <c r="B8" s="8" t="s">
        <v>283</v>
      </c>
      <c r="C8" s="8" t="s">
        <v>284</v>
      </c>
      <c r="D8" s="8" t="s">
        <v>284</v>
      </c>
      <c r="E8" s="8" t="s">
        <v>284</v>
      </c>
      <c r="F8" s="8" t="s">
        <v>285</v>
      </c>
      <c r="G8" s="8" t="s">
        <v>285</v>
      </c>
      <c r="H8" s="8" t="s">
        <v>293</v>
      </c>
    </row>
    <row r="9" spans="1:8">
      <c r="A9" s="8" t="s">
        <v>294</v>
      </c>
      <c r="B9" s="8" t="s">
        <v>283</v>
      </c>
      <c r="C9" s="8" t="s">
        <v>284</v>
      </c>
      <c r="D9" s="8" t="s">
        <v>285</v>
      </c>
      <c r="E9" s="8" t="s">
        <v>284</v>
      </c>
      <c r="F9" s="8" t="s">
        <v>285</v>
      </c>
      <c r="G9" s="8" t="s">
        <v>285</v>
      </c>
      <c r="H9" s="8" t="s">
        <v>295</v>
      </c>
    </row>
    <row r="10" spans="1:8">
      <c r="A10" s="8" t="s">
        <v>296</v>
      </c>
      <c r="B10" s="8" t="s">
        <v>283</v>
      </c>
      <c r="C10" s="8" t="s">
        <v>284</v>
      </c>
      <c r="D10" s="8" t="s">
        <v>285</v>
      </c>
      <c r="E10" s="8" t="s">
        <v>283</v>
      </c>
      <c r="F10" s="8" t="s">
        <v>285</v>
      </c>
      <c r="G10" s="8" t="s">
        <v>285</v>
      </c>
      <c r="H10" s="8" t="s">
        <v>297</v>
      </c>
    </row>
    <row r="11" spans="1:8">
      <c r="A11" s="8" t="s">
        <v>298</v>
      </c>
      <c r="B11" s="8" t="s">
        <v>283</v>
      </c>
      <c r="C11" s="8" t="s">
        <v>290</v>
      </c>
      <c r="D11" s="8" t="s">
        <v>290</v>
      </c>
      <c r="E11" s="8" t="s">
        <v>284</v>
      </c>
      <c r="F11" s="8" t="s">
        <v>283</v>
      </c>
      <c r="G11" s="8" t="s">
        <v>284</v>
      </c>
      <c r="H11" s="8" t="s">
        <v>299</v>
      </c>
    </row>
    <row r="12" spans="1:8">
      <c r="A12" s="8" t="s">
        <v>300</v>
      </c>
      <c r="B12" s="8" t="s">
        <v>290</v>
      </c>
      <c r="C12" s="8" t="s">
        <v>285</v>
      </c>
      <c r="D12" s="8" t="s">
        <v>285</v>
      </c>
      <c r="E12" s="8" t="s">
        <v>283</v>
      </c>
      <c r="F12" s="8" t="s">
        <v>285</v>
      </c>
      <c r="G12" s="8" t="s">
        <v>285</v>
      </c>
      <c r="H12" s="8" t="s">
        <v>301</v>
      </c>
    </row>
    <row r="13" spans="1:8">
      <c r="A13" s="8" t="s">
        <v>302</v>
      </c>
      <c r="B13" s="8" t="s">
        <v>303</v>
      </c>
      <c r="C13" s="8" t="s">
        <v>303</v>
      </c>
      <c r="D13" s="8" t="s">
        <v>283</v>
      </c>
      <c r="E13" s="8" t="s">
        <v>303</v>
      </c>
      <c r="F13" s="8" t="s">
        <v>303</v>
      </c>
      <c r="G13" s="8" t="s">
        <v>284</v>
      </c>
      <c r="H13" s="8" t="s">
        <v>304</v>
      </c>
    </row>
    <row r="14" spans="1:8">
      <c r="A14" s="8" t="s">
        <v>305</v>
      </c>
      <c r="B14" s="8" t="s">
        <v>303</v>
      </c>
      <c r="C14" s="8" t="s">
        <v>303</v>
      </c>
      <c r="D14" s="8" t="s">
        <v>285</v>
      </c>
      <c r="E14" s="8" t="s">
        <v>285</v>
      </c>
      <c r="F14" s="8" t="s">
        <v>285</v>
      </c>
      <c r="G14" s="8" t="s">
        <v>285</v>
      </c>
      <c r="H14" s="8" t="s">
        <v>306</v>
      </c>
    </row>
    <row r="15" spans="1:8">
      <c r="A15" s="8" t="s">
        <v>307</v>
      </c>
      <c r="B15" s="8" t="s">
        <v>303</v>
      </c>
      <c r="C15" s="8" t="s">
        <v>303</v>
      </c>
      <c r="D15" s="8" t="s">
        <v>283</v>
      </c>
      <c r="E15" s="8" t="s">
        <v>285</v>
      </c>
      <c r="F15" s="8" t="s">
        <v>285</v>
      </c>
      <c r="G15" s="8" t="s">
        <v>285</v>
      </c>
      <c r="H15" s="8" t="s">
        <v>308</v>
      </c>
    </row>
    <row r="16" spans="1:8">
      <c r="A16" s="8" t="s">
        <v>309</v>
      </c>
      <c r="B16" s="8" t="s">
        <v>303</v>
      </c>
      <c r="C16" s="8" t="s">
        <v>303</v>
      </c>
      <c r="D16" s="8" t="s">
        <v>290</v>
      </c>
      <c r="E16" s="8" t="s">
        <v>285</v>
      </c>
      <c r="F16" s="8" t="s">
        <v>285</v>
      </c>
      <c r="G16" s="8" t="s">
        <v>285</v>
      </c>
      <c r="H16" s="8" t="s">
        <v>310</v>
      </c>
    </row>
    <row r="17" spans="1:8">
      <c r="A17" s="8" t="s">
        <v>311</v>
      </c>
      <c r="B17" s="8" t="s">
        <v>303</v>
      </c>
      <c r="C17" s="8" t="s">
        <v>303</v>
      </c>
      <c r="D17" s="8" t="s">
        <v>303</v>
      </c>
      <c r="E17" s="8" t="s">
        <v>290</v>
      </c>
      <c r="F17" s="8" t="s">
        <v>285</v>
      </c>
      <c r="G17" s="8" t="s">
        <v>285</v>
      </c>
      <c r="H17" s="8" t="s">
        <v>312</v>
      </c>
    </row>
    <row r="18" spans="1:8">
      <c r="A18" s="8" t="s">
        <v>95</v>
      </c>
      <c r="B18" s="8" t="s">
        <v>283</v>
      </c>
      <c r="C18" s="8" t="s">
        <v>284</v>
      </c>
      <c r="D18" s="8" t="s">
        <v>285</v>
      </c>
      <c r="E18" s="8" t="s">
        <v>285</v>
      </c>
      <c r="F18" s="8" t="s">
        <v>285</v>
      </c>
      <c r="G18" s="8" t="s">
        <v>285</v>
      </c>
      <c r="H18" s="8" t="s">
        <v>313</v>
      </c>
    </row>
    <row r="19" spans="1:8">
      <c r="A19" s="8" t="s">
        <v>314</v>
      </c>
      <c r="B19" s="8" t="s">
        <v>290</v>
      </c>
      <c r="C19" s="8" t="s">
        <v>283</v>
      </c>
      <c r="D19" s="8" t="s">
        <v>284</v>
      </c>
      <c r="E19" s="8" t="s">
        <v>285</v>
      </c>
      <c r="F19" s="8" t="s">
        <v>285</v>
      </c>
      <c r="G19" s="8" t="s">
        <v>285</v>
      </c>
      <c r="H19" s="8" t="s">
        <v>315</v>
      </c>
    </row>
    <row r="20" spans="1:8">
      <c r="A20" s="8" t="s">
        <v>316</v>
      </c>
      <c r="B20" s="8" t="s">
        <v>283</v>
      </c>
      <c r="C20" s="8" t="s">
        <v>283</v>
      </c>
      <c r="D20" s="8" t="s">
        <v>284</v>
      </c>
      <c r="E20" s="8" t="s">
        <v>284</v>
      </c>
      <c r="F20" s="8" t="s">
        <v>284</v>
      </c>
      <c r="G20" s="8" t="s">
        <v>285</v>
      </c>
      <c r="H20" s="8" t="s">
        <v>317</v>
      </c>
    </row>
  </sheetData>
  <mergeCells count="2">
    <mergeCell ref="A1:H1"/>
    <mergeCell ref="A2:H2"/>
  </mergeCells>
  <conditionalFormatting sqref="B5:G20">
    <cfRule type="expression" dxfId="5" priority="1">
      <formula>B5="G"</formula>
    </cfRule>
    <cfRule type="expression" dxfId="4" priority="2">
      <formula>B5="T"</formula>
    </cfRule>
    <cfRule type="expression" dxfId="3" priority="3">
      <formula>B5="U"</formula>
    </cfRule>
    <cfRule type="expression" dxfId="2" priority="4">
      <formula>B5="M"</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
  <sheetViews>
    <sheetView workbookViewId="0">
      <selection sqref="A1:M1"/>
    </sheetView>
  </sheetViews>
  <sheetFormatPr defaultRowHeight="14"/>
  <cols>
    <col min="1" max="1" width="7" customWidth="1"/>
    <col min="2" max="2" width="28" customWidth="1"/>
    <col min="3" max="3" width="12" customWidth="1"/>
    <col min="4" max="4" width="7" customWidth="1"/>
    <col min="5" max="5" width="22" customWidth="1"/>
    <col min="6" max="8" width="34" customWidth="1"/>
    <col min="9" max="10" width="48" customWidth="1"/>
    <col min="11" max="13" width="37" customWidth="1"/>
  </cols>
  <sheetData>
    <row r="1" spans="1:13" ht="18.649999999999999" customHeight="1">
      <c r="A1" s="60" t="s">
        <v>318</v>
      </c>
      <c r="B1" s="60"/>
      <c r="C1" s="60"/>
      <c r="D1" s="60"/>
      <c r="E1" s="60"/>
      <c r="F1" s="60"/>
      <c r="G1" s="60"/>
      <c r="H1" s="60"/>
      <c r="I1" s="60"/>
      <c r="J1" s="60"/>
      <c r="K1" s="60"/>
      <c r="L1" s="60"/>
      <c r="M1" s="60"/>
    </row>
    <row r="2" spans="1:13" ht="17.399999999999999" customHeight="1">
      <c r="A2" s="61" t="s">
        <v>319</v>
      </c>
      <c r="B2" s="61"/>
      <c r="C2" s="61"/>
      <c r="D2" s="61"/>
      <c r="E2" s="61"/>
      <c r="F2" s="61"/>
      <c r="G2" s="61"/>
      <c r="H2" s="61"/>
      <c r="I2" s="61"/>
      <c r="J2" s="61"/>
      <c r="K2" s="61"/>
      <c r="L2" s="61"/>
      <c r="M2" s="61"/>
    </row>
    <row r="4" spans="1:13" ht="28" customHeight="1">
      <c r="A4" s="57" t="s">
        <v>142</v>
      </c>
      <c r="B4" s="57" t="s">
        <v>14</v>
      </c>
      <c r="C4" s="57" t="s">
        <v>320</v>
      </c>
      <c r="D4" s="57" t="s">
        <v>321</v>
      </c>
      <c r="E4" s="57" t="s">
        <v>322</v>
      </c>
      <c r="F4" s="57" t="s">
        <v>323</v>
      </c>
      <c r="G4" s="57" t="s">
        <v>324</v>
      </c>
      <c r="H4" s="57" t="s">
        <v>325</v>
      </c>
      <c r="I4" s="57" t="s">
        <v>326</v>
      </c>
      <c r="J4" s="57" t="s">
        <v>327</v>
      </c>
      <c r="K4" s="57" t="s">
        <v>328</v>
      </c>
      <c r="L4" s="57" t="s">
        <v>329</v>
      </c>
      <c r="M4" s="57" t="s">
        <v>330</v>
      </c>
    </row>
    <row r="5" spans="1:13" ht="44" customHeight="1">
      <c r="A5" s="20" t="s">
        <v>19</v>
      </c>
      <c r="B5" s="12" t="s">
        <v>22</v>
      </c>
      <c r="C5" s="12" t="s">
        <v>21</v>
      </c>
      <c r="D5" s="12">
        <v>1</v>
      </c>
      <c r="E5" s="12" t="s">
        <v>331</v>
      </c>
      <c r="F5" s="12" t="s">
        <v>332</v>
      </c>
      <c r="G5" s="12" t="s">
        <v>333</v>
      </c>
      <c r="H5" s="12" t="s">
        <v>334</v>
      </c>
      <c r="I5" s="12" t="s">
        <v>335</v>
      </c>
      <c r="J5" s="12" t="s">
        <v>336</v>
      </c>
      <c r="K5" s="12" t="s">
        <v>337</v>
      </c>
      <c r="L5" s="12" t="s">
        <v>338</v>
      </c>
      <c r="M5" s="12" t="s">
        <v>339</v>
      </c>
    </row>
    <row r="6" spans="1:13" ht="44" customHeight="1">
      <c r="A6" s="21" t="s">
        <v>19</v>
      </c>
      <c r="B6" s="11" t="s">
        <v>22</v>
      </c>
      <c r="C6" s="11" t="s">
        <v>21</v>
      </c>
      <c r="D6" s="11">
        <v>2</v>
      </c>
      <c r="E6" s="11" t="s">
        <v>340</v>
      </c>
      <c r="F6" s="11" t="s">
        <v>341</v>
      </c>
      <c r="G6" s="11" t="s">
        <v>342</v>
      </c>
      <c r="H6" s="11" t="s">
        <v>343</v>
      </c>
      <c r="I6" s="11" t="s">
        <v>344</v>
      </c>
      <c r="J6" s="11" t="s">
        <v>345</v>
      </c>
      <c r="K6" s="11" t="s">
        <v>346</v>
      </c>
      <c r="L6" s="11" t="s">
        <v>347</v>
      </c>
      <c r="M6" s="11" t="s">
        <v>339</v>
      </c>
    </row>
    <row r="7" spans="1:13" ht="44" customHeight="1">
      <c r="A7" s="20" t="s">
        <v>19</v>
      </c>
      <c r="B7" s="12" t="s">
        <v>22</v>
      </c>
      <c r="C7" s="12" t="s">
        <v>21</v>
      </c>
      <c r="D7" s="12">
        <v>3</v>
      </c>
      <c r="E7" s="12" t="s">
        <v>348</v>
      </c>
      <c r="F7" s="12" t="s">
        <v>349</v>
      </c>
      <c r="G7" s="12" t="s">
        <v>350</v>
      </c>
      <c r="H7" s="12" t="s">
        <v>351</v>
      </c>
      <c r="I7" s="12" t="s">
        <v>352</v>
      </c>
      <c r="J7" s="12" t="s">
        <v>353</v>
      </c>
      <c r="K7" s="12" t="s">
        <v>354</v>
      </c>
      <c r="L7" s="12" t="s">
        <v>355</v>
      </c>
      <c r="M7" s="12" t="s">
        <v>339</v>
      </c>
    </row>
    <row r="8" spans="1:13" ht="44" customHeight="1">
      <c r="A8" s="22" t="s">
        <v>19</v>
      </c>
      <c r="B8" s="13" t="s">
        <v>22</v>
      </c>
      <c r="C8" s="13" t="s">
        <v>21</v>
      </c>
      <c r="D8" s="13">
        <v>4</v>
      </c>
      <c r="E8" s="13" t="s">
        <v>356</v>
      </c>
      <c r="F8" s="13" t="s">
        <v>357</v>
      </c>
      <c r="G8" s="13" t="s">
        <v>358</v>
      </c>
      <c r="H8" s="13" t="s">
        <v>359</v>
      </c>
      <c r="I8" s="13" t="s">
        <v>360</v>
      </c>
      <c r="J8" s="13" t="s">
        <v>361</v>
      </c>
      <c r="K8" s="13" t="s">
        <v>362</v>
      </c>
      <c r="L8" s="13" t="s">
        <v>363</v>
      </c>
      <c r="M8" s="13" t="s">
        <v>339</v>
      </c>
    </row>
    <row r="9" spans="1:13" ht="44" customHeight="1">
      <c r="A9" s="20" t="s">
        <v>19</v>
      </c>
      <c r="B9" s="12" t="s">
        <v>22</v>
      </c>
      <c r="C9" s="12" t="s">
        <v>21</v>
      </c>
      <c r="D9" s="12">
        <v>5</v>
      </c>
      <c r="E9" s="12" t="s">
        <v>340</v>
      </c>
      <c r="F9" s="12" t="s">
        <v>364</v>
      </c>
      <c r="G9" s="12" t="s">
        <v>365</v>
      </c>
      <c r="H9" s="12" t="s">
        <v>366</v>
      </c>
      <c r="I9" s="12" t="s">
        <v>367</v>
      </c>
      <c r="J9" s="12" t="s">
        <v>368</v>
      </c>
      <c r="K9" s="12" t="s">
        <v>369</v>
      </c>
      <c r="L9" s="12" t="s">
        <v>370</v>
      </c>
      <c r="M9" s="12" t="s">
        <v>339</v>
      </c>
    </row>
    <row r="10" spans="1:13" ht="44" customHeight="1">
      <c r="A10" s="21" t="s">
        <v>19</v>
      </c>
      <c r="B10" s="11" t="s">
        <v>22</v>
      </c>
      <c r="C10" s="11" t="s">
        <v>21</v>
      </c>
      <c r="D10" s="11">
        <v>6</v>
      </c>
      <c r="E10" s="11" t="s">
        <v>371</v>
      </c>
      <c r="F10" s="11" t="s">
        <v>372</v>
      </c>
      <c r="G10" s="11" t="s">
        <v>373</v>
      </c>
      <c r="H10" s="11" t="s">
        <v>374</v>
      </c>
      <c r="I10" s="11" t="s">
        <v>375</v>
      </c>
      <c r="J10" s="11" t="s">
        <v>376</v>
      </c>
      <c r="K10" s="11" t="s">
        <v>377</v>
      </c>
      <c r="L10" s="11" t="s">
        <v>378</v>
      </c>
      <c r="M10" s="11" t="s">
        <v>339</v>
      </c>
    </row>
    <row r="11" spans="1:13" ht="44" customHeight="1">
      <c r="A11" s="20" t="s">
        <v>19</v>
      </c>
      <c r="B11" s="12" t="s">
        <v>22</v>
      </c>
      <c r="C11" s="12" t="s">
        <v>21</v>
      </c>
      <c r="D11" s="12">
        <v>7</v>
      </c>
      <c r="E11" s="12" t="s">
        <v>379</v>
      </c>
      <c r="F11" s="12" t="s">
        <v>380</v>
      </c>
      <c r="G11" s="12" t="s">
        <v>381</v>
      </c>
      <c r="H11" s="12" t="s">
        <v>382</v>
      </c>
      <c r="I11" s="12" t="s">
        <v>383</v>
      </c>
      <c r="J11" s="12" t="s">
        <v>384</v>
      </c>
      <c r="K11" s="12" t="s">
        <v>385</v>
      </c>
      <c r="L11" s="12" t="s">
        <v>386</v>
      </c>
      <c r="M11" s="12" t="s">
        <v>339</v>
      </c>
    </row>
    <row r="12" spans="1:13" ht="44" customHeight="1">
      <c r="A12" s="23" t="s">
        <v>19</v>
      </c>
      <c r="B12" s="14" t="s">
        <v>22</v>
      </c>
      <c r="C12" s="14" t="s">
        <v>21</v>
      </c>
      <c r="D12" s="14">
        <v>8</v>
      </c>
      <c r="E12" s="14" t="s">
        <v>387</v>
      </c>
      <c r="F12" s="14" t="s">
        <v>388</v>
      </c>
      <c r="G12" s="14" t="s">
        <v>389</v>
      </c>
      <c r="H12" s="14" t="s">
        <v>390</v>
      </c>
      <c r="I12" s="14" t="s">
        <v>391</v>
      </c>
      <c r="J12" s="14" t="s">
        <v>392</v>
      </c>
      <c r="K12" s="14" t="s">
        <v>393</v>
      </c>
      <c r="L12" s="14" t="s">
        <v>394</v>
      </c>
      <c r="M12" s="14" t="s">
        <v>339</v>
      </c>
    </row>
    <row r="13" spans="1:13" ht="44" customHeight="1">
      <c r="A13" s="20" t="s">
        <v>19</v>
      </c>
      <c r="B13" s="12" t="s">
        <v>22</v>
      </c>
      <c r="C13" s="12" t="s">
        <v>21</v>
      </c>
      <c r="D13" s="12">
        <v>9</v>
      </c>
      <c r="E13" s="12" t="s">
        <v>348</v>
      </c>
      <c r="F13" s="12" t="s">
        <v>395</v>
      </c>
      <c r="G13" s="12" t="s">
        <v>396</v>
      </c>
      <c r="H13" s="12" t="s">
        <v>397</v>
      </c>
      <c r="I13" s="12" t="s">
        <v>398</v>
      </c>
      <c r="J13" s="12" t="s">
        <v>399</v>
      </c>
      <c r="K13" s="12" t="s">
        <v>400</v>
      </c>
      <c r="L13" s="12" t="s">
        <v>401</v>
      </c>
      <c r="M13" s="12" t="s">
        <v>339</v>
      </c>
    </row>
    <row r="14" spans="1:13" ht="44" customHeight="1">
      <c r="A14" s="21" t="s">
        <v>19</v>
      </c>
      <c r="B14" s="11" t="s">
        <v>22</v>
      </c>
      <c r="C14" s="11" t="s">
        <v>21</v>
      </c>
      <c r="D14" s="11">
        <v>10</v>
      </c>
      <c r="E14" s="11" t="s">
        <v>356</v>
      </c>
      <c r="F14" s="11" t="s">
        <v>402</v>
      </c>
      <c r="G14" s="11" t="s">
        <v>403</v>
      </c>
      <c r="H14" s="11" t="s">
        <v>404</v>
      </c>
      <c r="I14" s="11" t="s">
        <v>405</v>
      </c>
      <c r="J14" s="11" t="s">
        <v>406</v>
      </c>
      <c r="K14" s="11" t="s">
        <v>407</v>
      </c>
      <c r="L14" s="11" t="s">
        <v>408</v>
      </c>
      <c r="M14" s="11" t="s">
        <v>339</v>
      </c>
    </row>
    <row r="15" spans="1:13" ht="44" customHeight="1">
      <c r="A15" s="20" t="s">
        <v>19</v>
      </c>
      <c r="B15" s="12" t="s">
        <v>22</v>
      </c>
      <c r="C15" s="12" t="s">
        <v>21</v>
      </c>
      <c r="D15" s="12">
        <v>11</v>
      </c>
      <c r="E15" s="12" t="s">
        <v>409</v>
      </c>
      <c r="F15" s="12" t="s">
        <v>410</v>
      </c>
      <c r="G15" s="12" t="s">
        <v>411</v>
      </c>
      <c r="H15" s="12" t="s">
        <v>412</v>
      </c>
      <c r="I15" s="12" t="s">
        <v>413</v>
      </c>
      <c r="J15" s="12" t="s">
        <v>414</v>
      </c>
      <c r="K15" s="12" t="s">
        <v>415</v>
      </c>
      <c r="L15" s="12" t="s">
        <v>416</v>
      </c>
      <c r="M15" s="12" t="s">
        <v>417</v>
      </c>
    </row>
    <row r="16" spans="1:13" ht="44" customHeight="1">
      <c r="A16" s="24" t="s">
        <v>19</v>
      </c>
      <c r="B16" s="15" t="s">
        <v>22</v>
      </c>
      <c r="C16" s="15" t="s">
        <v>21</v>
      </c>
      <c r="D16" s="15">
        <v>12</v>
      </c>
      <c r="E16" s="15" t="s">
        <v>418</v>
      </c>
      <c r="F16" s="15" t="s">
        <v>419</v>
      </c>
      <c r="G16" s="15" t="s">
        <v>420</v>
      </c>
      <c r="H16" s="15" t="s">
        <v>421</v>
      </c>
      <c r="I16" s="15" t="s">
        <v>422</v>
      </c>
      <c r="J16" s="15" t="s">
        <v>423</v>
      </c>
      <c r="K16" s="15" t="s">
        <v>424</v>
      </c>
      <c r="L16" s="15" t="s">
        <v>425</v>
      </c>
      <c r="M16" s="15" t="s">
        <v>339</v>
      </c>
    </row>
    <row r="17" spans="1:13" ht="44" customHeight="1">
      <c r="A17" s="20" t="s">
        <v>19</v>
      </c>
      <c r="B17" s="12" t="s">
        <v>22</v>
      </c>
      <c r="C17" s="12" t="s">
        <v>21</v>
      </c>
      <c r="D17" s="12">
        <v>13</v>
      </c>
      <c r="E17" s="12" t="s">
        <v>426</v>
      </c>
      <c r="F17" s="12" t="s">
        <v>427</v>
      </c>
      <c r="G17" s="12" t="s">
        <v>428</v>
      </c>
      <c r="H17" s="12" t="s">
        <v>429</v>
      </c>
      <c r="I17" s="12" t="s">
        <v>430</v>
      </c>
      <c r="J17" s="12" t="s">
        <v>431</v>
      </c>
      <c r="K17" s="12" t="s">
        <v>432</v>
      </c>
      <c r="L17" s="12" t="s">
        <v>433</v>
      </c>
      <c r="M17" s="12" t="s">
        <v>339</v>
      </c>
    </row>
    <row r="18" spans="1:13" ht="44" customHeight="1">
      <c r="A18" s="21" t="s">
        <v>19</v>
      </c>
      <c r="B18" s="11" t="s">
        <v>22</v>
      </c>
      <c r="C18" s="11" t="s">
        <v>21</v>
      </c>
      <c r="D18" s="11">
        <v>14</v>
      </c>
      <c r="E18" s="11" t="s">
        <v>426</v>
      </c>
      <c r="F18" s="11" t="s">
        <v>434</v>
      </c>
      <c r="G18" s="11" t="s">
        <v>435</v>
      </c>
      <c r="H18" s="11" t="s">
        <v>436</v>
      </c>
      <c r="I18" s="11" t="s">
        <v>437</v>
      </c>
      <c r="J18" s="11" t="s">
        <v>438</v>
      </c>
      <c r="K18" s="11" t="s">
        <v>439</v>
      </c>
      <c r="L18" s="11" t="s">
        <v>440</v>
      </c>
      <c r="M18" s="11" t="s">
        <v>339</v>
      </c>
    </row>
    <row r="19" spans="1:13" ht="44" customHeight="1">
      <c r="A19" s="25" t="s">
        <v>19</v>
      </c>
      <c r="B19" s="26" t="s">
        <v>22</v>
      </c>
      <c r="C19" s="26" t="s">
        <v>21</v>
      </c>
      <c r="D19" s="26">
        <v>15</v>
      </c>
      <c r="E19" s="26" t="s">
        <v>441</v>
      </c>
      <c r="F19" s="26" t="s">
        <v>442</v>
      </c>
      <c r="G19" s="26" t="s">
        <v>443</v>
      </c>
      <c r="H19" s="26" t="s">
        <v>444</v>
      </c>
      <c r="I19" s="26" t="s">
        <v>445</v>
      </c>
      <c r="J19" s="26" t="s">
        <v>446</v>
      </c>
      <c r="K19" s="26" t="s">
        <v>447</v>
      </c>
      <c r="L19" s="26" t="s">
        <v>448</v>
      </c>
      <c r="M19" s="26" t="s">
        <v>339</v>
      </c>
    </row>
    <row r="20" spans="1:13" ht="44" customHeight="1">
      <c r="A20" s="27" t="s">
        <v>19</v>
      </c>
      <c r="B20" s="28" t="s">
        <v>22</v>
      </c>
      <c r="C20" s="28" t="s">
        <v>21</v>
      </c>
      <c r="D20" s="28">
        <v>16</v>
      </c>
      <c r="E20" s="28" t="s">
        <v>449</v>
      </c>
      <c r="F20" s="28" t="s">
        <v>450</v>
      </c>
      <c r="G20" s="28" t="s">
        <v>451</v>
      </c>
      <c r="H20" s="28" t="s">
        <v>452</v>
      </c>
      <c r="I20" s="28" t="s">
        <v>453</v>
      </c>
      <c r="J20" s="28" t="s">
        <v>454</v>
      </c>
      <c r="K20" s="28" t="s">
        <v>455</v>
      </c>
      <c r="L20" s="28" t="s">
        <v>456</v>
      </c>
      <c r="M20" s="28" t="s">
        <v>339</v>
      </c>
    </row>
    <row r="21" spans="1:13" ht="44" customHeight="1">
      <c r="A21" s="20" t="s">
        <v>27</v>
      </c>
      <c r="B21" s="12" t="s">
        <v>30</v>
      </c>
      <c r="C21" s="12" t="s">
        <v>29</v>
      </c>
      <c r="D21" s="12">
        <v>1</v>
      </c>
      <c r="E21" s="12" t="s">
        <v>457</v>
      </c>
      <c r="F21" s="12" t="s">
        <v>458</v>
      </c>
      <c r="G21" s="12" t="s">
        <v>459</v>
      </c>
      <c r="H21" s="12" t="s">
        <v>460</v>
      </c>
      <c r="I21" s="12" t="s">
        <v>461</v>
      </c>
      <c r="J21" s="12" t="s">
        <v>462</v>
      </c>
      <c r="K21" s="12" t="s">
        <v>463</v>
      </c>
      <c r="L21" s="12" t="s">
        <v>464</v>
      </c>
      <c r="M21" s="12" t="s">
        <v>465</v>
      </c>
    </row>
    <row r="22" spans="1:13" ht="44" customHeight="1">
      <c r="A22" s="21" t="s">
        <v>27</v>
      </c>
      <c r="B22" s="11" t="s">
        <v>30</v>
      </c>
      <c r="C22" s="11" t="s">
        <v>29</v>
      </c>
      <c r="D22" s="11">
        <v>2</v>
      </c>
      <c r="E22" s="11" t="s">
        <v>466</v>
      </c>
      <c r="F22" s="11" t="s">
        <v>467</v>
      </c>
      <c r="G22" s="11" t="s">
        <v>468</v>
      </c>
      <c r="H22" s="11" t="s">
        <v>469</v>
      </c>
      <c r="I22" s="11" t="s">
        <v>470</v>
      </c>
      <c r="J22" s="11" t="s">
        <v>471</v>
      </c>
      <c r="K22" s="11" t="s">
        <v>472</v>
      </c>
      <c r="L22" s="11" t="s">
        <v>473</v>
      </c>
      <c r="M22" s="11" t="s">
        <v>465</v>
      </c>
    </row>
    <row r="23" spans="1:13" ht="44" customHeight="1">
      <c r="A23" s="20" t="s">
        <v>27</v>
      </c>
      <c r="B23" s="12" t="s">
        <v>30</v>
      </c>
      <c r="C23" s="12" t="s">
        <v>29</v>
      </c>
      <c r="D23" s="12">
        <v>3</v>
      </c>
      <c r="E23" s="12" t="s">
        <v>474</v>
      </c>
      <c r="F23" s="12" t="s">
        <v>475</v>
      </c>
      <c r="G23" s="12" t="s">
        <v>476</v>
      </c>
      <c r="H23" s="12" t="s">
        <v>477</v>
      </c>
      <c r="I23" s="12" t="s">
        <v>478</v>
      </c>
      <c r="J23" s="12" t="s">
        <v>479</v>
      </c>
      <c r="K23" s="12" t="s">
        <v>480</v>
      </c>
      <c r="L23" s="12" t="s">
        <v>481</v>
      </c>
      <c r="M23" s="12" t="s">
        <v>465</v>
      </c>
    </row>
    <row r="24" spans="1:13" ht="44" customHeight="1">
      <c r="A24" s="22" t="s">
        <v>27</v>
      </c>
      <c r="B24" s="13" t="s">
        <v>30</v>
      </c>
      <c r="C24" s="13" t="s">
        <v>29</v>
      </c>
      <c r="D24" s="13">
        <v>4</v>
      </c>
      <c r="E24" s="13" t="s">
        <v>482</v>
      </c>
      <c r="F24" s="13" t="s">
        <v>483</v>
      </c>
      <c r="G24" s="13" t="s">
        <v>484</v>
      </c>
      <c r="H24" s="13" t="s">
        <v>485</v>
      </c>
      <c r="I24" s="13" t="s">
        <v>486</v>
      </c>
      <c r="J24" s="13" t="s">
        <v>487</v>
      </c>
      <c r="K24" s="13" t="s">
        <v>488</v>
      </c>
      <c r="L24" s="13" t="s">
        <v>489</v>
      </c>
      <c r="M24" s="13" t="s">
        <v>465</v>
      </c>
    </row>
    <row r="25" spans="1:13" ht="44" customHeight="1">
      <c r="A25" s="20" t="s">
        <v>27</v>
      </c>
      <c r="B25" s="12" t="s">
        <v>30</v>
      </c>
      <c r="C25" s="12" t="s">
        <v>29</v>
      </c>
      <c r="D25" s="12">
        <v>5</v>
      </c>
      <c r="E25" s="12" t="s">
        <v>490</v>
      </c>
      <c r="F25" s="12" t="s">
        <v>491</v>
      </c>
      <c r="G25" s="12" t="s">
        <v>492</v>
      </c>
      <c r="H25" s="12" t="s">
        <v>493</v>
      </c>
      <c r="I25" s="12" t="s">
        <v>494</v>
      </c>
      <c r="J25" s="12" t="s">
        <v>495</v>
      </c>
      <c r="K25" s="12" t="s">
        <v>496</v>
      </c>
      <c r="L25" s="12" t="s">
        <v>497</v>
      </c>
      <c r="M25" s="12" t="s">
        <v>465</v>
      </c>
    </row>
    <row r="26" spans="1:13" ht="44" customHeight="1">
      <c r="A26" s="21" t="s">
        <v>27</v>
      </c>
      <c r="B26" s="11" t="s">
        <v>30</v>
      </c>
      <c r="C26" s="11" t="s">
        <v>29</v>
      </c>
      <c r="D26" s="11">
        <v>6</v>
      </c>
      <c r="E26" s="11" t="s">
        <v>498</v>
      </c>
      <c r="F26" s="11" t="s">
        <v>499</v>
      </c>
      <c r="G26" s="11" t="s">
        <v>500</v>
      </c>
      <c r="H26" s="11" t="s">
        <v>501</v>
      </c>
      <c r="I26" s="11" t="s">
        <v>502</v>
      </c>
      <c r="J26" s="11" t="s">
        <v>503</v>
      </c>
      <c r="K26" s="11" t="s">
        <v>504</v>
      </c>
      <c r="L26" s="11" t="s">
        <v>505</v>
      </c>
      <c r="M26" s="11" t="s">
        <v>465</v>
      </c>
    </row>
    <row r="27" spans="1:13" ht="44" customHeight="1">
      <c r="A27" s="20" t="s">
        <v>27</v>
      </c>
      <c r="B27" s="12" t="s">
        <v>30</v>
      </c>
      <c r="C27" s="12" t="s">
        <v>29</v>
      </c>
      <c r="D27" s="12">
        <v>7</v>
      </c>
      <c r="E27" s="12" t="s">
        <v>506</v>
      </c>
      <c r="F27" s="12" t="s">
        <v>507</v>
      </c>
      <c r="G27" s="12" t="s">
        <v>508</v>
      </c>
      <c r="H27" s="12" t="s">
        <v>509</v>
      </c>
      <c r="I27" s="12" t="s">
        <v>510</v>
      </c>
      <c r="J27" s="12" t="s">
        <v>511</v>
      </c>
      <c r="K27" s="12" t="s">
        <v>512</v>
      </c>
      <c r="L27" s="12" t="s">
        <v>513</v>
      </c>
      <c r="M27" s="12" t="s">
        <v>514</v>
      </c>
    </row>
    <row r="28" spans="1:13" ht="44" customHeight="1">
      <c r="A28" s="23" t="s">
        <v>27</v>
      </c>
      <c r="B28" s="14" t="s">
        <v>30</v>
      </c>
      <c r="C28" s="14" t="s">
        <v>29</v>
      </c>
      <c r="D28" s="14">
        <v>8</v>
      </c>
      <c r="E28" s="14" t="s">
        <v>515</v>
      </c>
      <c r="F28" s="14" t="s">
        <v>516</v>
      </c>
      <c r="G28" s="14" t="s">
        <v>517</v>
      </c>
      <c r="H28" s="14" t="s">
        <v>518</v>
      </c>
      <c r="I28" s="14" t="s">
        <v>519</v>
      </c>
      <c r="J28" s="14" t="s">
        <v>520</v>
      </c>
      <c r="K28" s="14" t="s">
        <v>521</v>
      </c>
      <c r="L28" s="14" t="s">
        <v>522</v>
      </c>
      <c r="M28" s="14" t="s">
        <v>514</v>
      </c>
    </row>
    <row r="29" spans="1:13" ht="44" customHeight="1">
      <c r="A29" s="20" t="s">
        <v>27</v>
      </c>
      <c r="B29" s="12" t="s">
        <v>30</v>
      </c>
      <c r="C29" s="12" t="s">
        <v>29</v>
      </c>
      <c r="D29" s="12">
        <v>9</v>
      </c>
      <c r="E29" s="12" t="s">
        <v>457</v>
      </c>
      <c r="F29" s="12" t="s">
        <v>523</v>
      </c>
      <c r="G29" s="12" t="s">
        <v>524</v>
      </c>
      <c r="H29" s="12" t="s">
        <v>525</v>
      </c>
      <c r="I29" s="12" t="s">
        <v>526</v>
      </c>
      <c r="J29" s="12" t="s">
        <v>527</v>
      </c>
      <c r="K29" s="12" t="s">
        <v>528</v>
      </c>
      <c r="L29" s="12" t="s">
        <v>529</v>
      </c>
      <c r="M29" s="12" t="s">
        <v>514</v>
      </c>
    </row>
    <row r="30" spans="1:13" ht="44" customHeight="1">
      <c r="A30" s="21" t="s">
        <v>27</v>
      </c>
      <c r="B30" s="11" t="s">
        <v>30</v>
      </c>
      <c r="C30" s="11" t="s">
        <v>29</v>
      </c>
      <c r="D30" s="11">
        <v>10</v>
      </c>
      <c r="E30" s="11" t="s">
        <v>530</v>
      </c>
      <c r="F30" s="11" t="s">
        <v>531</v>
      </c>
      <c r="G30" s="11" t="s">
        <v>532</v>
      </c>
      <c r="H30" s="11" t="s">
        <v>533</v>
      </c>
      <c r="I30" s="11" t="s">
        <v>534</v>
      </c>
      <c r="J30" s="11" t="s">
        <v>535</v>
      </c>
      <c r="K30" s="11" t="s">
        <v>536</v>
      </c>
      <c r="L30" s="11" t="s">
        <v>537</v>
      </c>
      <c r="M30" s="11" t="s">
        <v>465</v>
      </c>
    </row>
    <row r="31" spans="1:13" ht="44" customHeight="1">
      <c r="A31" s="20" t="s">
        <v>27</v>
      </c>
      <c r="B31" s="12" t="s">
        <v>30</v>
      </c>
      <c r="C31" s="12" t="s">
        <v>29</v>
      </c>
      <c r="D31" s="12">
        <v>11</v>
      </c>
      <c r="E31" s="12" t="s">
        <v>538</v>
      </c>
      <c r="F31" s="12" t="s">
        <v>539</v>
      </c>
      <c r="G31" s="12" t="s">
        <v>540</v>
      </c>
      <c r="H31" s="12" t="s">
        <v>541</v>
      </c>
      <c r="I31" s="12" t="s">
        <v>542</v>
      </c>
      <c r="J31" s="12" t="s">
        <v>543</v>
      </c>
      <c r="K31" s="12" t="s">
        <v>544</v>
      </c>
      <c r="L31" s="12" t="s">
        <v>545</v>
      </c>
      <c r="M31" s="12" t="s">
        <v>514</v>
      </c>
    </row>
    <row r="32" spans="1:13" ht="44" customHeight="1">
      <c r="A32" s="24" t="s">
        <v>27</v>
      </c>
      <c r="B32" s="15" t="s">
        <v>30</v>
      </c>
      <c r="C32" s="15" t="s">
        <v>29</v>
      </c>
      <c r="D32" s="15">
        <v>12</v>
      </c>
      <c r="E32" s="15" t="s">
        <v>546</v>
      </c>
      <c r="F32" s="15" t="s">
        <v>547</v>
      </c>
      <c r="G32" s="15" t="s">
        <v>548</v>
      </c>
      <c r="H32" s="15" t="s">
        <v>549</v>
      </c>
      <c r="I32" s="15" t="s">
        <v>550</v>
      </c>
      <c r="J32" s="15" t="s">
        <v>551</v>
      </c>
      <c r="K32" s="15" t="s">
        <v>552</v>
      </c>
      <c r="L32" s="15" t="s">
        <v>553</v>
      </c>
      <c r="M32" s="15" t="s">
        <v>514</v>
      </c>
    </row>
    <row r="33" spans="1:13" ht="44" customHeight="1">
      <c r="A33" s="20" t="s">
        <v>27</v>
      </c>
      <c r="B33" s="12" t="s">
        <v>30</v>
      </c>
      <c r="C33" s="12" t="s">
        <v>29</v>
      </c>
      <c r="D33" s="12">
        <v>13</v>
      </c>
      <c r="E33" s="12" t="s">
        <v>554</v>
      </c>
      <c r="F33" s="12" t="s">
        <v>555</v>
      </c>
      <c r="G33" s="12" t="s">
        <v>556</v>
      </c>
      <c r="H33" s="12" t="s">
        <v>557</v>
      </c>
      <c r="I33" s="12" t="s">
        <v>558</v>
      </c>
      <c r="J33" s="12" t="s">
        <v>559</v>
      </c>
      <c r="K33" s="12" t="s">
        <v>560</v>
      </c>
      <c r="L33" s="12" t="s">
        <v>561</v>
      </c>
      <c r="M33" s="12" t="s">
        <v>562</v>
      </c>
    </row>
    <row r="34" spans="1:13" ht="44" customHeight="1">
      <c r="A34" s="21" t="s">
        <v>27</v>
      </c>
      <c r="B34" s="11" t="s">
        <v>30</v>
      </c>
      <c r="C34" s="11" t="s">
        <v>29</v>
      </c>
      <c r="D34" s="11">
        <v>14</v>
      </c>
      <c r="E34" s="11" t="s">
        <v>563</v>
      </c>
      <c r="F34" s="11" t="s">
        <v>564</v>
      </c>
      <c r="G34" s="11" t="s">
        <v>565</v>
      </c>
      <c r="H34" s="11" t="s">
        <v>566</v>
      </c>
      <c r="I34" s="11" t="s">
        <v>567</v>
      </c>
      <c r="J34" s="11" t="s">
        <v>568</v>
      </c>
      <c r="K34" s="11" t="s">
        <v>569</v>
      </c>
      <c r="L34" s="11" t="s">
        <v>570</v>
      </c>
      <c r="M34" s="11" t="s">
        <v>465</v>
      </c>
    </row>
    <row r="35" spans="1:13" ht="44" customHeight="1">
      <c r="A35" s="25" t="s">
        <v>27</v>
      </c>
      <c r="B35" s="26" t="s">
        <v>30</v>
      </c>
      <c r="C35" s="26" t="s">
        <v>29</v>
      </c>
      <c r="D35" s="26">
        <v>15</v>
      </c>
      <c r="E35" s="26" t="s">
        <v>441</v>
      </c>
      <c r="F35" s="26" t="s">
        <v>571</v>
      </c>
      <c r="G35" s="26" t="s">
        <v>572</v>
      </c>
      <c r="H35" s="26" t="s">
        <v>573</v>
      </c>
      <c r="I35" s="26" t="s">
        <v>574</v>
      </c>
      <c r="J35" s="26" t="s">
        <v>575</v>
      </c>
      <c r="K35" s="26" t="s">
        <v>576</v>
      </c>
      <c r="L35" s="26" t="s">
        <v>577</v>
      </c>
      <c r="M35" s="26" t="s">
        <v>465</v>
      </c>
    </row>
    <row r="36" spans="1:13" ht="44" customHeight="1">
      <c r="A36" s="27" t="s">
        <v>27</v>
      </c>
      <c r="B36" s="28" t="s">
        <v>30</v>
      </c>
      <c r="C36" s="28" t="s">
        <v>29</v>
      </c>
      <c r="D36" s="28">
        <v>16</v>
      </c>
      <c r="E36" s="28" t="s">
        <v>578</v>
      </c>
      <c r="F36" s="28" t="s">
        <v>579</v>
      </c>
      <c r="G36" s="28" t="s">
        <v>580</v>
      </c>
      <c r="H36" s="28" t="s">
        <v>581</v>
      </c>
      <c r="I36" s="28" t="s">
        <v>582</v>
      </c>
      <c r="J36" s="28" t="s">
        <v>583</v>
      </c>
      <c r="K36" s="28" t="s">
        <v>584</v>
      </c>
      <c r="L36" s="28" t="s">
        <v>585</v>
      </c>
      <c r="M36" s="28" t="s">
        <v>465</v>
      </c>
    </row>
    <row r="37" spans="1:13" ht="44" customHeight="1">
      <c r="A37" s="20" t="s">
        <v>35</v>
      </c>
      <c r="B37" s="12" t="s">
        <v>38</v>
      </c>
      <c r="C37" s="12" t="s">
        <v>37</v>
      </c>
      <c r="D37" s="12">
        <v>1</v>
      </c>
      <c r="E37" s="12" t="s">
        <v>586</v>
      </c>
      <c r="F37" s="12" t="s">
        <v>587</v>
      </c>
      <c r="G37" s="12" t="s">
        <v>588</v>
      </c>
      <c r="H37" s="12" t="s">
        <v>589</v>
      </c>
      <c r="I37" s="12" t="s">
        <v>590</v>
      </c>
      <c r="J37" s="12" t="s">
        <v>591</v>
      </c>
      <c r="K37" s="12" t="s">
        <v>592</v>
      </c>
      <c r="L37" s="12" t="s">
        <v>593</v>
      </c>
      <c r="M37" s="12" t="s">
        <v>594</v>
      </c>
    </row>
    <row r="38" spans="1:13" ht="44" customHeight="1">
      <c r="A38" s="21" t="s">
        <v>35</v>
      </c>
      <c r="B38" s="11" t="s">
        <v>38</v>
      </c>
      <c r="C38" s="11" t="s">
        <v>37</v>
      </c>
      <c r="D38" s="11">
        <v>2</v>
      </c>
      <c r="E38" s="11" t="s">
        <v>426</v>
      </c>
      <c r="F38" s="11" t="s">
        <v>595</v>
      </c>
      <c r="G38" s="11" t="s">
        <v>596</v>
      </c>
      <c r="H38" s="11" t="s">
        <v>597</v>
      </c>
      <c r="I38" s="11" t="s">
        <v>598</v>
      </c>
      <c r="J38" s="11" t="s">
        <v>599</v>
      </c>
      <c r="K38" s="11" t="s">
        <v>600</v>
      </c>
      <c r="L38" s="11" t="s">
        <v>601</v>
      </c>
      <c r="M38" s="11" t="s">
        <v>594</v>
      </c>
    </row>
    <row r="39" spans="1:13" ht="44" customHeight="1">
      <c r="A39" s="20" t="s">
        <v>35</v>
      </c>
      <c r="B39" s="12" t="s">
        <v>38</v>
      </c>
      <c r="C39" s="12" t="s">
        <v>37</v>
      </c>
      <c r="D39" s="12">
        <v>3</v>
      </c>
      <c r="E39" s="12" t="s">
        <v>602</v>
      </c>
      <c r="F39" s="12" t="s">
        <v>603</v>
      </c>
      <c r="G39" s="12" t="s">
        <v>604</v>
      </c>
      <c r="H39" s="12" t="s">
        <v>605</v>
      </c>
      <c r="I39" s="12" t="s">
        <v>606</v>
      </c>
      <c r="J39" s="12" t="s">
        <v>607</v>
      </c>
      <c r="K39" s="12" t="s">
        <v>608</v>
      </c>
      <c r="L39" s="12" t="s">
        <v>609</v>
      </c>
      <c r="M39" s="12" t="s">
        <v>594</v>
      </c>
    </row>
    <row r="40" spans="1:13" ht="44" customHeight="1">
      <c r="A40" s="22" t="s">
        <v>35</v>
      </c>
      <c r="B40" s="13" t="s">
        <v>38</v>
      </c>
      <c r="C40" s="13" t="s">
        <v>37</v>
      </c>
      <c r="D40" s="13">
        <v>4</v>
      </c>
      <c r="E40" s="13" t="s">
        <v>610</v>
      </c>
      <c r="F40" s="13" t="s">
        <v>611</v>
      </c>
      <c r="G40" s="13" t="s">
        <v>612</v>
      </c>
      <c r="H40" s="13" t="s">
        <v>613</v>
      </c>
      <c r="I40" s="13" t="s">
        <v>614</v>
      </c>
      <c r="J40" s="13" t="s">
        <v>615</v>
      </c>
      <c r="K40" s="13" t="s">
        <v>616</v>
      </c>
      <c r="L40" s="13" t="s">
        <v>617</v>
      </c>
      <c r="M40" s="13" t="s">
        <v>594</v>
      </c>
    </row>
    <row r="41" spans="1:13" ht="44" customHeight="1">
      <c r="A41" s="20" t="s">
        <v>35</v>
      </c>
      <c r="B41" s="12" t="s">
        <v>38</v>
      </c>
      <c r="C41" s="12" t="s">
        <v>37</v>
      </c>
      <c r="D41" s="12">
        <v>5</v>
      </c>
      <c r="E41" s="12" t="s">
        <v>387</v>
      </c>
      <c r="F41" s="12" t="s">
        <v>618</v>
      </c>
      <c r="G41" s="12" t="s">
        <v>619</v>
      </c>
      <c r="H41" s="12" t="s">
        <v>620</v>
      </c>
      <c r="I41" s="12" t="s">
        <v>621</v>
      </c>
      <c r="J41" s="12" t="s">
        <v>622</v>
      </c>
      <c r="K41" s="12" t="s">
        <v>623</v>
      </c>
      <c r="L41" s="12" t="s">
        <v>624</v>
      </c>
      <c r="M41" s="12" t="s">
        <v>594</v>
      </c>
    </row>
    <row r="42" spans="1:13" ht="44" customHeight="1">
      <c r="A42" s="21" t="s">
        <v>35</v>
      </c>
      <c r="B42" s="11" t="s">
        <v>38</v>
      </c>
      <c r="C42" s="11" t="s">
        <v>37</v>
      </c>
      <c r="D42" s="11">
        <v>6</v>
      </c>
      <c r="E42" s="11" t="s">
        <v>625</v>
      </c>
      <c r="F42" s="11" t="s">
        <v>626</v>
      </c>
      <c r="G42" s="11" t="s">
        <v>627</v>
      </c>
      <c r="H42" s="11" t="s">
        <v>628</v>
      </c>
      <c r="I42" s="11" t="s">
        <v>629</v>
      </c>
      <c r="J42" s="11" t="s">
        <v>630</v>
      </c>
      <c r="K42" s="11" t="s">
        <v>631</v>
      </c>
      <c r="L42" s="11" t="s">
        <v>632</v>
      </c>
      <c r="M42" s="11" t="s">
        <v>594</v>
      </c>
    </row>
    <row r="43" spans="1:13" ht="44" customHeight="1">
      <c r="A43" s="20" t="s">
        <v>35</v>
      </c>
      <c r="B43" s="12" t="s">
        <v>38</v>
      </c>
      <c r="C43" s="12" t="s">
        <v>37</v>
      </c>
      <c r="D43" s="12">
        <v>7</v>
      </c>
      <c r="E43" s="12" t="s">
        <v>426</v>
      </c>
      <c r="F43" s="12" t="s">
        <v>633</v>
      </c>
      <c r="G43" s="12" t="s">
        <v>634</v>
      </c>
      <c r="H43" s="12" t="s">
        <v>635</v>
      </c>
      <c r="I43" s="12" t="s">
        <v>636</v>
      </c>
      <c r="J43" s="12" t="s">
        <v>637</v>
      </c>
      <c r="K43" s="12" t="s">
        <v>638</v>
      </c>
      <c r="L43" s="12" t="s">
        <v>639</v>
      </c>
      <c r="M43" s="12" t="s">
        <v>594</v>
      </c>
    </row>
    <row r="44" spans="1:13" ht="44" customHeight="1">
      <c r="A44" s="23" t="s">
        <v>35</v>
      </c>
      <c r="B44" s="14" t="s">
        <v>38</v>
      </c>
      <c r="C44" s="14" t="s">
        <v>37</v>
      </c>
      <c r="D44" s="14">
        <v>8</v>
      </c>
      <c r="E44" s="14" t="s">
        <v>640</v>
      </c>
      <c r="F44" s="14" t="s">
        <v>641</v>
      </c>
      <c r="G44" s="14" t="s">
        <v>642</v>
      </c>
      <c r="H44" s="14" t="s">
        <v>643</v>
      </c>
      <c r="I44" s="14" t="s">
        <v>644</v>
      </c>
      <c r="J44" s="14" t="s">
        <v>645</v>
      </c>
      <c r="K44" s="14" t="s">
        <v>646</v>
      </c>
      <c r="L44" s="14" t="s">
        <v>647</v>
      </c>
      <c r="M44" s="14" t="s">
        <v>594</v>
      </c>
    </row>
    <row r="45" spans="1:13" ht="44" customHeight="1">
      <c r="A45" s="20" t="s">
        <v>35</v>
      </c>
      <c r="B45" s="12" t="s">
        <v>38</v>
      </c>
      <c r="C45" s="12" t="s">
        <v>37</v>
      </c>
      <c r="D45" s="12">
        <v>9</v>
      </c>
      <c r="E45" s="12" t="s">
        <v>648</v>
      </c>
      <c r="F45" s="12" t="s">
        <v>649</v>
      </c>
      <c r="G45" s="12" t="s">
        <v>650</v>
      </c>
      <c r="H45" s="12" t="s">
        <v>651</v>
      </c>
      <c r="I45" s="12" t="s">
        <v>652</v>
      </c>
      <c r="J45" s="12" t="s">
        <v>653</v>
      </c>
      <c r="K45" s="12" t="s">
        <v>654</v>
      </c>
      <c r="L45" s="12" t="s">
        <v>655</v>
      </c>
      <c r="M45" s="12" t="s">
        <v>594</v>
      </c>
    </row>
    <row r="46" spans="1:13" ht="44" customHeight="1">
      <c r="A46" s="21" t="s">
        <v>35</v>
      </c>
      <c r="B46" s="11" t="s">
        <v>38</v>
      </c>
      <c r="C46" s="11" t="s">
        <v>37</v>
      </c>
      <c r="D46" s="11">
        <v>10</v>
      </c>
      <c r="E46" s="11" t="s">
        <v>656</v>
      </c>
      <c r="F46" s="11" t="s">
        <v>657</v>
      </c>
      <c r="G46" s="11" t="s">
        <v>658</v>
      </c>
      <c r="H46" s="11" t="s">
        <v>659</v>
      </c>
      <c r="I46" s="11" t="s">
        <v>660</v>
      </c>
      <c r="J46" s="11" t="s">
        <v>661</v>
      </c>
      <c r="K46" s="11" t="s">
        <v>662</v>
      </c>
      <c r="L46" s="11" t="s">
        <v>663</v>
      </c>
      <c r="M46" s="11" t="s">
        <v>594</v>
      </c>
    </row>
    <row r="47" spans="1:13" ht="44" customHeight="1">
      <c r="A47" s="20" t="s">
        <v>35</v>
      </c>
      <c r="B47" s="12" t="s">
        <v>38</v>
      </c>
      <c r="C47" s="12" t="s">
        <v>37</v>
      </c>
      <c r="D47" s="12">
        <v>11</v>
      </c>
      <c r="E47" s="12" t="s">
        <v>664</v>
      </c>
      <c r="F47" s="12" t="s">
        <v>665</v>
      </c>
      <c r="G47" s="12" t="s">
        <v>666</v>
      </c>
      <c r="H47" s="12" t="s">
        <v>667</v>
      </c>
      <c r="I47" s="12" t="s">
        <v>668</v>
      </c>
      <c r="J47" s="12" t="s">
        <v>669</v>
      </c>
      <c r="K47" s="12" t="s">
        <v>670</v>
      </c>
      <c r="L47" s="12" t="s">
        <v>671</v>
      </c>
      <c r="M47" s="12" t="s">
        <v>594</v>
      </c>
    </row>
    <row r="48" spans="1:13" ht="44" customHeight="1">
      <c r="A48" s="24" t="s">
        <v>35</v>
      </c>
      <c r="B48" s="15" t="s">
        <v>38</v>
      </c>
      <c r="C48" s="15" t="s">
        <v>37</v>
      </c>
      <c r="D48" s="15">
        <v>12</v>
      </c>
      <c r="E48" s="15" t="s">
        <v>672</v>
      </c>
      <c r="F48" s="15" t="s">
        <v>673</v>
      </c>
      <c r="G48" s="15" t="s">
        <v>674</v>
      </c>
      <c r="H48" s="15" t="s">
        <v>675</v>
      </c>
      <c r="I48" s="15" t="s">
        <v>676</v>
      </c>
      <c r="J48" s="15" t="s">
        <v>677</v>
      </c>
      <c r="K48" s="15" t="s">
        <v>678</v>
      </c>
      <c r="L48" s="15" t="s">
        <v>679</v>
      </c>
      <c r="M48" s="15" t="s">
        <v>680</v>
      </c>
    </row>
    <row r="49" spans="1:13" ht="44" customHeight="1">
      <c r="A49" s="20" t="s">
        <v>35</v>
      </c>
      <c r="B49" s="12" t="s">
        <v>38</v>
      </c>
      <c r="C49" s="12" t="s">
        <v>37</v>
      </c>
      <c r="D49" s="12">
        <v>13</v>
      </c>
      <c r="E49" s="12" t="s">
        <v>681</v>
      </c>
      <c r="F49" s="12" t="s">
        <v>682</v>
      </c>
      <c r="G49" s="12" t="s">
        <v>683</v>
      </c>
      <c r="H49" s="12" t="s">
        <v>684</v>
      </c>
      <c r="I49" s="12" t="s">
        <v>685</v>
      </c>
      <c r="J49" s="12" t="s">
        <v>686</v>
      </c>
      <c r="K49" s="12" t="s">
        <v>687</v>
      </c>
      <c r="L49" s="12" t="s">
        <v>688</v>
      </c>
      <c r="M49" s="12" t="s">
        <v>594</v>
      </c>
    </row>
    <row r="50" spans="1:13" ht="44" customHeight="1">
      <c r="A50" s="21" t="s">
        <v>35</v>
      </c>
      <c r="B50" s="11" t="s">
        <v>38</v>
      </c>
      <c r="C50" s="11" t="s">
        <v>37</v>
      </c>
      <c r="D50" s="11">
        <v>14</v>
      </c>
      <c r="E50" s="11" t="s">
        <v>689</v>
      </c>
      <c r="F50" s="11" t="s">
        <v>690</v>
      </c>
      <c r="G50" s="11" t="s">
        <v>691</v>
      </c>
      <c r="H50" s="11" t="s">
        <v>692</v>
      </c>
      <c r="I50" s="11" t="s">
        <v>693</v>
      </c>
      <c r="J50" s="11" t="s">
        <v>694</v>
      </c>
      <c r="K50" s="11" t="s">
        <v>695</v>
      </c>
      <c r="L50" s="11" t="s">
        <v>696</v>
      </c>
      <c r="M50" s="11" t="s">
        <v>594</v>
      </c>
    </row>
    <row r="51" spans="1:13" ht="44" customHeight="1">
      <c r="A51" s="25" t="s">
        <v>35</v>
      </c>
      <c r="B51" s="26" t="s">
        <v>38</v>
      </c>
      <c r="C51" s="26" t="s">
        <v>37</v>
      </c>
      <c r="D51" s="26">
        <v>15</v>
      </c>
      <c r="E51" s="26" t="s">
        <v>697</v>
      </c>
      <c r="F51" s="26" t="s">
        <v>698</v>
      </c>
      <c r="G51" s="26" t="s">
        <v>699</v>
      </c>
      <c r="H51" s="26" t="s">
        <v>700</v>
      </c>
      <c r="I51" s="26" t="s">
        <v>701</v>
      </c>
      <c r="J51" s="26" t="s">
        <v>702</v>
      </c>
      <c r="K51" s="26" t="s">
        <v>703</v>
      </c>
      <c r="L51" s="26" t="s">
        <v>704</v>
      </c>
      <c r="M51" s="26" t="s">
        <v>594</v>
      </c>
    </row>
    <row r="52" spans="1:13" ht="44" customHeight="1">
      <c r="A52" s="27" t="s">
        <v>35</v>
      </c>
      <c r="B52" s="28" t="s">
        <v>38</v>
      </c>
      <c r="C52" s="28" t="s">
        <v>37</v>
      </c>
      <c r="D52" s="28">
        <v>16</v>
      </c>
      <c r="E52" s="28" t="s">
        <v>705</v>
      </c>
      <c r="F52" s="28" t="s">
        <v>706</v>
      </c>
      <c r="G52" s="28" t="s">
        <v>707</v>
      </c>
      <c r="H52" s="28" t="s">
        <v>708</v>
      </c>
      <c r="I52" s="28" t="s">
        <v>709</v>
      </c>
      <c r="J52" s="28" t="s">
        <v>710</v>
      </c>
      <c r="K52" s="28" t="s">
        <v>711</v>
      </c>
      <c r="L52" s="28" t="s">
        <v>712</v>
      </c>
      <c r="M52" s="28" t="s">
        <v>594</v>
      </c>
    </row>
    <row r="53" spans="1:13" ht="44" customHeight="1">
      <c r="A53" s="20" t="s">
        <v>43</v>
      </c>
      <c r="B53" s="12" t="s">
        <v>45</v>
      </c>
      <c r="C53" s="12" t="s">
        <v>37</v>
      </c>
      <c r="D53" s="12">
        <v>1</v>
      </c>
      <c r="E53" s="12" t="s">
        <v>713</v>
      </c>
      <c r="F53" s="12" t="s">
        <v>714</v>
      </c>
      <c r="G53" s="12" t="s">
        <v>715</v>
      </c>
      <c r="H53" s="12" t="s">
        <v>716</v>
      </c>
      <c r="I53" s="12" t="s">
        <v>717</v>
      </c>
      <c r="J53" s="12" t="s">
        <v>718</v>
      </c>
      <c r="K53" s="12" t="s">
        <v>719</v>
      </c>
      <c r="L53" s="12" t="s">
        <v>720</v>
      </c>
      <c r="M53" s="12" t="s">
        <v>721</v>
      </c>
    </row>
    <row r="54" spans="1:13" ht="44" customHeight="1">
      <c r="A54" s="21" t="s">
        <v>43</v>
      </c>
      <c r="B54" s="11" t="s">
        <v>45</v>
      </c>
      <c r="C54" s="11" t="s">
        <v>37</v>
      </c>
      <c r="D54" s="11">
        <v>2</v>
      </c>
      <c r="E54" s="11" t="s">
        <v>722</v>
      </c>
      <c r="F54" s="11" t="s">
        <v>723</v>
      </c>
      <c r="G54" s="11" t="s">
        <v>724</v>
      </c>
      <c r="H54" s="11" t="s">
        <v>725</v>
      </c>
      <c r="I54" s="11" t="s">
        <v>726</v>
      </c>
      <c r="J54" s="11" t="s">
        <v>727</v>
      </c>
      <c r="K54" s="11" t="s">
        <v>728</v>
      </c>
      <c r="L54" s="11" t="s">
        <v>729</v>
      </c>
      <c r="M54" s="11" t="s">
        <v>721</v>
      </c>
    </row>
    <row r="55" spans="1:13" ht="44" customHeight="1">
      <c r="A55" s="20" t="s">
        <v>43</v>
      </c>
      <c r="B55" s="12" t="s">
        <v>45</v>
      </c>
      <c r="C55" s="12" t="s">
        <v>37</v>
      </c>
      <c r="D55" s="12">
        <v>3</v>
      </c>
      <c r="E55" s="12" t="s">
        <v>426</v>
      </c>
      <c r="F55" s="12" t="s">
        <v>730</v>
      </c>
      <c r="G55" s="12" t="s">
        <v>731</v>
      </c>
      <c r="H55" s="12" t="s">
        <v>732</v>
      </c>
      <c r="I55" s="12" t="s">
        <v>733</v>
      </c>
      <c r="J55" s="12" t="s">
        <v>734</v>
      </c>
      <c r="K55" s="12" t="s">
        <v>735</v>
      </c>
      <c r="L55" s="12" t="s">
        <v>736</v>
      </c>
      <c r="M55" s="12" t="s">
        <v>721</v>
      </c>
    </row>
    <row r="56" spans="1:13" ht="44" customHeight="1">
      <c r="A56" s="22" t="s">
        <v>43</v>
      </c>
      <c r="B56" s="13" t="s">
        <v>45</v>
      </c>
      <c r="C56" s="13" t="s">
        <v>37</v>
      </c>
      <c r="D56" s="13">
        <v>4</v>
      </c>
      <c r="E56" s="13" t="s">
        <v>737</v>
      </c>
      <c r="F56" s="13" t="s">
        <v>738</v>
      </c>
      <c r="G56" s="13" t="s">
        <v>739</v>
      </c>
      <c r="H56" s="13" t="s">
        <v>740</v>
      </c>
      <c r="I56" s="13" t="s">
        <v>741</v>
      </c>
      <c r="J56" s="13" t="s">
        <v>742</v>
      </c>
      <c r="K56" s="13" t="s">
        <v>743</v>
      </c>
      <c r="L56" s="13" t="s">
        <v>744</v>
      </c>
      <c r="M56" s="13" t="s">
        <v>721</v>
      </c>
    </row>
    <row r="57" spans="1:13" ht="44" customHeight="1">
      <c r="A57" s="20" t="s">
        <v>43</v>
      </c>
      <c r="B57" s="12" t="s">
        <v>45</v>
      </c>
      <c r="C57" s="12" t="s">
        <v>37</v>
      </c>
      <c r="D57" s="12">
        <v>5</v>
      </c>
      <c r="E57" s="12" t="s">
        <v>745</v>
      </c>
      <c r="F57" s="12" t="s">
        <v>746</v>
      </c>
      <c r="G57" s="12" t="s">
        <v>747</v>
      </c>
      <c r="H57" s="12" t="s">
        <v>748</v>
      </c>
      <c r="I57" s="12" t="s">
        <v>749</v>
      </c>
      <c r="J57" s="12" t="s">
        <v>750</v>
      </c>
      <c r="K57" s="12" t="s">
        <v>751</v>
      </c>
      <c r="L57" s="12" t="s">
        <v>752</v>
      </c>
      <c r="M57" s="12" t="s">
        <v>721</v>
      </c>
    </row>
    <row r="58" spans="1:13" ht="44" customHeight="1">
      <c r="A58" s="21" t="s">
        <v>43</v>
      </c>
      <c r="B58" s="11" t="s">
        <v>45</v>
      </c>
      <c r="C58" s="11" t="s">
        <v>37</v>
      </c>
      <c r="D58" s="11">
        <v>6</v>
      </c>
      <c r="E58" s="11" t="s">
        <v>753</v>
      </c>
      <c r="F58" s="11" t="s">
        <v>754</v>
      </c>
      <c r="G58" s="11" t="s">
        <v>755</v>
      </c>
      <c r="H58" s="11" t="s">
        <v>756</v>
      </c>
      <c r="I58" s="11" t="s">
        <v>757</v>
      </c>
      <c r="J58" s="11" t="s">
        <v>758</v>
      </c>
      <c r="K58" s="11" t="s">
        <v>759</v>
      </c>
      <c r="L58" s="11" t="s">
        <v>760</v>
      </c>
      <c r="M58" s="11" t="s">
        <v>721</v>
      </c>
    </row>
    <row r="59" spans="1:13" ht="44" customHeight="1">
      <c r="A59" s="20" t="s">
        <v>43</v>
      </c>
      <c r="B59" s="12" t="s">
        <v>45</v>
      </c>
      <c r="C59" s="12" t="s">
        <v>37</v>
      </c>
      <c r="D59" s="12">
        <v>7</v>
      </c>
      <c r="E59" s="12" t="s">
        <v>761</v>
      </c>
      <c r="F59" s="12" t="s">
        <v>762</v>
      </c>
      <c r="G59" s="12" t="s">
        <v>763</v>
      </c>
      <c r="H59" s="12" t="s">
        <v>764</v>
      </c>
      <c r="I59" s="12" t="s">
        <v>765</v>
      </c>
      <c r="J59" s="12" t="s">
        <v>766</v>
      </c>
      <c r="K59" s="12" t="s">
        <v>767</v>
      </c>
      <c r="L59" s="12" t="s">
        <v>768</v>
      </c>
      <c r="M59" s="12" t="s">
        <v>769</v>
      </c>
    </row>
    <row r="60" spans="1:13" ht="44" customHeight="1">
      <c r="A60" s="23" t="s">
        <v>43</v>
      </c>
      <c r="B60" s="14" t="s">
        <v>45</v>
      </c>
      <c r="C60" s="14" t="s">
        <v>37</v>
      </c>
      <c r="D60" s="14">
        <v>8</v>
      </c>
      <c r="E60" s="14" t="s">
        <v>770</v>
      </c>
      <c r="F60" s="14" t="s">
        <v>771</v>
      </c>
      <c r="G60" s="14" t="s">
        <v>772</v>
      </c>
      <c r="H60" s="14" t="s">
        <v>773</v>
      </c>
      <c r="I60" s="14" t="s">
        <v>774</v>
      </c>
      <c r="J60" s="14" t="s">
        <v>775</v>
      </c>
      <c r="K60" s="14" t="s">
        <v>776</v>
      </c>
      <c r="L60" s="14" t="s">
        <v>777</v>
      </c>
      <c r="M60" s="14" t="s">
        <v>769</v>
      </c>
    </row>
    <row r="61" spans="1:13" ht="44" customHeight="1">
      <c r="A61" s="20" t="s">
        <v>43</v>
      </c>
      <c r="B61" s="12" t="s">
        <v>45</v>
      </c>
      <c r="C61" s="12" t="s">
        <v>37</v>
      </c>
      <c r="D61" s="12">
        <v>9</v>
      </c>
      <c r="E61" s="12" t="s">
        <v>426</v>
      </c>
      <c r="F61" s="12" t="s">
        <v>778</v>
      </c>
      <c r="G61" s="12" t="s">
        <v>779</v>
      </c>
      <c r="H61" s="12" t="s">
        <v>780</v>
      </c>
      <c r="I61" s="12" t="s">
        <v>781</v>
      </c>
      <c r="J61" s="12" t="s">
        <v>782</v>
      </c>
      <c r="K61" s="12" t="s">
        <v>783</v>
      </c>
      <c r="L61" s="12" t="s">
        <v>784</v>
      </c>
      <c r="M61" s="12" t="s">
        <v>721</v>
      </c>
    </row>
    <row r="62" spans="1:13" ht="44" customHeight="1">
      <c r="A62" s="21" t="s">
        <v>43</v>
      </c>
      <c r="B62" s="11" t="s">
        <v>45</v>
      </c>
      <c r="C62" s="11" t="s">
        <v>37</v>
      </c>
      <c r="D62" s="11">
        <v>10</v>
      </c>
      <c r="E62" s="11" t="s">
        <v>785</v>
      </c>
      <c r="F62" s="11" t="s">
        <v>786</v>
      </c>
      <c r="G62" s="11" t="s">
        <v>787</v>
      </c>
      <c r="H62" s="11" t="s">
        <v>788</v>
      </c>
      <c r="I62" s="11" t="s">
        <v>789</v>
      </c>
      <c r="J62" s="11" t="s">
        <v>790</v>
      </c>
      <c r="K62" s="11" t="s">
        <v>791</v>
      </c>
      <c r="L62" s="11" t="s">
        <v>792</v>
      </c>
      <c r="M62" s="11" t="s">
        <v>721</v>
      </c>
    </row>
    <row r="63" spans="1:13" ht="44" customHeight="1">
      <c r="A63" s="20" t="s">
        <v>43</v>
      </c>
      <c r="B63" s="12" t="s">
        <v>45</v>
      </c>
      <c r="C63" s="12" t="s">
        <v>37</v>
      </c>
      <c r="D63" s="12">
        <v>11</v>
      </c>
      <c r="E63" s="12" t="s">
        <v>793</v>
      </c>
      <c r="F63" s="12" t="s">
        <v>794</v>
      </c>
      <c r="G63" s="12" t="s">
        <v>795</v>
      </c>
      <c r="H63" s="12" t="s">
        <v>796</v>
      </c>
      <c r="I63" s="12" t="s">
        <v>797</v>
      </c>
      <c r="J63" s="12" t="s">
        <v>798</v>
      </c>
      <c r="K63" s="12" t="s">
        <v>799</v>
      </c>
      <c r="L63" s="12" t="s">
        <v>800</v>
      </c>
      <c r="M63" s="12" t="s">
        <v>721</v>
      </c>
    </row>
    <row r="64" spans="1:13" ht="44" customHeight="1">
      <c r="A64" s="24" t="s">
        <v>43</v>
      </c>
      <c r="B64" s="15" t="s">
        <v>45</v>
      </c>
      <c r="C64" s="15" t="s">
        <v>37</v>
      </c>
      <c r="D64" s="15">
        <v>12</v>
      </c>
      <c r="E64" s="15" t="s">
        <v>801</v>
      </c>
      <c r="F64" s="15" t="s">
        <v>802</v>
      </c>
      <c r="G64" s="15" t="s">
        <v>803</v>
      </c>
      <c r="H64" s="15" t="s">
        <v>804</v>
      </c>
      <c r="I64" s="15" t="s">
        <v>805</v>
      </c>
      <c r="J64" s="15" t="s">
        <v>806</v>
      </c>
      <c r="K64" s="15" t="s">
        <v>807</v>
      </c>
      <c r="L64" s="15" t="s">
        <v>808</v>
      </c>
      <c r="M64" s="15" t="s">
        <v>721</v>
      </c>
    </row>
    <row r="65" spans="1:13" ht="44" customHeight="1">
      <c r="A65" s="20" t="s">
        <v>43</v>
      </c>
      <c r="B65" s="12" t="s">
        <v>45</v>
      </c>
      <c r="C65" s="12" t="s">
        <v>37</v>
      </c>
      <c r="D65" s="12">
        <v>13</v>
      </c>
      <c r="E65" s="12" t="s">
        <v>809</v>
      </c>
      <c r="F65" s="12" t="s">
        <v>810</v>
      </c>
      <c r="G65" s="12" t="s">
        <v>811</v>
      </c>
      <c r="H65" s="12" t="s">
        <v>812</v>
      </c>
      <c r="I65" s="12" t="s">
        <v>813</v>
      </c>
      <c r="J65" s="12" t="s">
        <v>814</v>
      </c>
      <c r="K65" s="12" t="s">
        <v>815</v>
      </c>
      <c r="L65" s="12" t="s">
        <v>816</v>
      </c>
      <c r="M65" s="12" t="s">
        <v>721</v>
      </c>
    </row>
    <row r="66" spans="1:13" ht="44" customHeight="1">
      <c r="A66" s="21" t="s">
        <v>43</v>
      </c>
      <c r="B66" s="11" t="s">
        <v>45</v>
      </c>
      <c r="C66" s="11" t="s">
        <v>37</v>
      </c>
      <c r="D66" s="11">
        <v>14</v>
      </c>
      <c r="E66" s="11" t="s">
        <v>817</v>
      </c>
      <c r="F66" s="11" t="s">
        <v>818</v>
      </c>
      <c r="G66" s="11" t="s">
        <v>819</v>
      </c>
      <c r="H66" s="11" t="s">
        <v>820</v>
      </c>
      <c r="I66" s="11" t="s">
        <v>821</v>
      </c>
      <c r="J66" s="11" t="s">
        <v>822</v>
      </c>
      <c r="K66" s="11" t="s">
        <v>823</v>
      </c>
      <c r="L66" s="11" t="s">
        <v>824</v>
      </c>
      <c r="M66" s="11" t="s">
        <v>825</v>
      </c>
    </row>
    <row r="67" spans="1:13" ht="44" customHeight="1">
      <c r="A67" s="25" t="s">
        <v>43</v>
      </c>
      <c r="B67" s="26" t="s">
        <v>45</v>
      </c>
      <c r="C67" s="26" t="s">
        <v>37</v>
      </c>
      <c r="D67" s="26">
        <v>15</v>
      </c>
      <c r="E67" s="26" t="s">
        <v>826</v>
      </c>
      <c r="F67" s="26" t="s">
        <v>827</v>
      </c>
      <c r="G67" s="26" t="s">
        <v>828</v>
      </c>
      <c r="H67" s="26" t="s">
        <v>829</v>
      </c>
      <c r="I67" s="26" t="s">
        <v>830</v>
      </c>
      <c r="J67" s="26" t="s">
        <v>831</v>
      </c>
      <c r="K67" s="26" t="s">
        <v>832</v>
      </c>
      <c r="L67" s="26" t="s">
        <v>833</v>
      </c>
      <c r="M67" s="26" t="s">
        <v>721</v>
      </c>
    </row>
    <row r="68" spans="1:13" ht="44" customHeight="1">
      <c r="A68" s="27" t="s">
        <v>43</v>
      </c>
      <c r="B68" s="28" t="s">
        <v>45</v>
      </c>
      <c r="C68" s="28" t="s">
        <v>37</v>
      </c>
      <c r="D68" s="28">
        <v>16</v>
      </c>
      <c r="E68" s="28" t="s">
        <v>834</v>
      </c>
      <c r="F68" s="28" t="s">
        <v>835</v>
      </c>
      <c r="G68" s="28" t="s">
        <v>836</v>
      </c>
      <c r="H68" s="28" t="s">
        <v>837</v>
      </c>
      <c r="I68" s="28" t="s">
        <v>838</v>
      </c>
      <c r="J68" s="28" t="s">
        <v>839</v>
      </c>
      <c r="K68" s="28" t="s">
        <v>840</v>
      </c>
      <c r="L68" s="28" t="s">
        <v>841</v>
      </c>
      <c r="M68" s="28" t="s">
        <v>721</v>
      </c>
    </row>
    <row r="69" spans="1:13" ht="44" customHeight="1">
      <c r="A69" s="20" t="s">
        <v>50</v>
      </c>
      <c r="B69" s="12" t="s">
        <v>53</v>
      </c>
      <c r="C69" s="12" t="s">
        <v>52</v>
      </c>
      <c r="D69" s="12">
        <v>1</v>
      </c>
      <c r="E69" s="12" t="s">
        <v>842</v>
      </c>
      <c r="F69" s="12" t="s">
        <v>843</v>
      </c>
      <c r="G69" s="12" t="s">
        <v>844</v>
      </c>
      <c r="H69" s="12" t="s">
        <v>845</v>
      </c>
      <c r="I69" s="12" t="s">
        <v>846</v>
      </c>
      <c r="J69" s="12" t="s">
        <v>847</v>
      </c>
      <c r="K69" s="12" t="s">
        <v>848</v>
      </c>
      <c r="L69" s="12" t="s">
        <v>849</v>
      </c>
      <c r="M69" s="12" t="s">
        <v>850</v>
      </c>
    </row>
    <row r="70" spans="1:13" ht="44" customHeight="1">
      <c r="A70" s="21" t="s">
        <v>50</v>
      </c>
      <c r="B70" s="11" t="s">
        <v>53</v>
      </c>
      <c r="C70" s="11" t="s">
        <v>52</v>
      </c>
      <c r="D70" s="11">
        <v>2</v>
      </c>
      <c r="E70" s="11" t="s">
        <v>851</v>
      </c>
      <c r="F70" s="11" t="s">
        <v>852</v>
      </c>
      <c r="G70" s="11" t="s">
        <v>853</v>
      </c>
      <c r="H70" s="11" t="s">
        <v>854</v>
      </c>
      <c r="I70" s="11" t="s">
        <v>855</v>
      </c>
      <c r="J70" s="11" t="s">
        <v>856</v>
      </c>
      <c r="K70" s="11" t="s">
        <v>857</v>
      </c>
      <c r="L70" s="11" t="s">
        <v>858</v>
      </c>
      <c r="M70" s="11" t="s">
        <v>850</v>
      </c>
    </row>
    <row r="71" spans="1:13" ht="44" customHeight="1">
      <c r="A71" s="20" t="s">
        <v>50</v>
      </c>
      <c r="B71" s="12" t="s">
        <v>53</v>
      </c>
      <c r="C71" s="12" t="s">
        <v>52</v>
      </c>
      <c r="D71" s="12">
        <v>3</v>
      </c>
      <c r="E71" s="12" t="s">
        <v>859</v>
      </c>
      <c r="F71" s="12" t="s">
        <v>860</v>
      </c>
      <c r="G71" s="12" t="s">
        <v>861</v>
      </c>
      <c r="H71" s="12" t="s">
        <v>862</v>
      </c>
      <c r="I71" s="12" t="s">
        <v>863</v>
      </c>
      <c r="J71" s="12" t="s">
        <v>864</v>
      </c>
      <c r="K71" s="12" t="s">
        <v>865</v>
      </c>
      <c r="L71" s="12" t="s">
        <v>866</v>
      </c>
      <c r="M71" s="12" t="s">
        <v>850</v>
      </c>
    </row>
    <row r="72" spans="1:13" ht="44" customHeight="1">
      <c r="A72" s="22" t="s">
        <v>50</v>
      </c>
      <c r="B72" s="13" t="s">
        <v>53</v>
      </c>
      <c r="C72" s="13" t="s">
        <v>52</v>
      </c>
      <c r="D72" s="13">
        <v>4</v>
      </c>
      <c r="E72" s="13" t="s">
        <v>867</v>
      </c>
      <c r="F72" s="13" t="s">
        <v>868</v>
      </c>
      <c r="G72" s="13" t="s">
        <v>869</v>
      </c>
      <c r="H72" s="13" t="s">
        <v>870</v>
      </c>
      <c r="I72" s="13" t="s">
        <v>871</v>
      </c>
      <c r="J72" s="13" t="s">
        <v>872</v>
      </c>
      <c r="K72" s="13" t="s">
        <v>873</v>
      </c>
      <c r="L72" s="13" t="s">
        <v>874</v>
      </c>
      <c r="M72" s="13" t="s">
        <v>850</v>
      </c>
    </row>
    <row r="73" spans="1:13" ht="44" customHeight="1">
      <c r="A73" s="20" t="s">
        <v>50</v>
      </c>
      <c r="B73" s="12" t="s">
        <v>53</v>
      </c>
      <c r="C73" s="12" t="s">
        <v>52</v>
      </c>
      <c r="D73" s="12">
        <v>5</v>
      </c>
      <c r="E73" s="12" t="s">
        <v>875</v>
      </c>
      <c r="F73" s="12" t="s">
        <v>876</v>
      </c>
      <c r="G73" s="12" t="s">
        <v>877</v>
      </c>
      <c r="H73" s="12" t="s">
        <v>878</v>
      </c>
      <c r="I73" s="12" t="s">
        <v>879</v>
      </c>
      <c r="J73" s="12" t="s">
        <v>880</v>
      </c>
      <c r="K73" s="12" t="s">
        <v>881</v>
      </c>
      <c r="L73" s="12" t="s">
        <v>882</v>
      </c>
      <c r="M73" s="12" t="s">
        <v>850</v>
      </c>
    </row>
    <row r="74" spans="1:13" ht="44" customHeight="1">
      <c r="A74" s="21" t="s">
        <v>50</v>
      </c>
      <c r="B74" s="11" t="s">
        <v>53</v>
      </c>
      <c r="C74" s="11" t="s">
        <v>52</v>
      </c>
      <c r="D74" s="11">
        <v>6</v>
      </c>
      <c r="E74" s="11" t="s">
        <v>883</v>
      </c>
      <c r="F74" s="11" t="s">
        <v>884</v>
      </c>
      <c r="G74" s="11" t="s">
        <v>885</v>
      </c>
      <c r="H74" s="11" t="s">
        <v>886</v>
      </c>
      <c r="I74" s="11" t="s">
        <v>887</v>
      </c>
      <c r="J74" s="11" t="s">
        <v>888</v>
      </c>
      <c r="K74" s="11" t="s">
        <v>889</v>
      </c>
      <c r="L74" s="11" t="s">
        <v>890</v>
      </c>
      <c r="M74" s="11" t="s">
        <v>850</v>
      </c>
    </row>
    <row r="75" spans="1:13" ht="44" customHeight="1">
      <c r="A75" s="20" t="s">
        <v>50</v>
      </c>
      <c r="B75" s="12" t="s">
        <v>53</v>
      </c>
      <c r="C75" s="12" t="s">
        <v>52</v>
      </c>
      <c r="D75" s="12">
        <v>7</v>
      </c>
      <c r="E75" s="12" t="s">
        <v>891</v>
      </c>
      <c r="F75" s="12" t="s">
        <v>892</v>
      </c>
      <c r="G75" s="12" t="s">
        <v>893</v>
      </c>
      <c r="H75" s="12" t="s">
        <v>894</v>
      </c>
      <c r="I75" s="12" t="s">
        <v>895</v>
      </c>
      <c r="J75" s="12" t="s">
        <v>896</v>
      </c>
      <c r="K75" s="12" t="s">
        <v>897</v>
      </c>
      <c r="L75" s="12" t="s">
        <v>898</v>
      </c>
      <c r="M75" s="12" t="s">
        <v>850</v>
      </c>
    </row>
    <row r="76" spans="1:13" ht="44" customHeight="1">
      <c r="A76" s="23" t="s">
        <v>50</v>
      </c>
      <c r="B76" s="14" t="s">
        <v>53</v>
      </c>
      <c r="C76" s="14" t="s">
        <v>52</v>
      </c>
      <c r="D76" s="14">
        <v>8</v>
      </c>
      <c r="E76" s="14" t="s">
        <v>899</v>
      </c>
      <c r="F76" s="14" t="s">
        <v>900</v>
      </c>
      <c r="G76" s="14" t="s">
        <v>901</v>
      </c>
      <c r="H76" s="14" t="s">
        <v>902</v>
      </c>
      <c r="I76" s="14" t="s">
        <v>903</v>
      </c>
      <c r="J76" s="14" t="s">
        <v>904</v>
      </c>
      <c r="K76" s="14" t="s">
        <v>905</v>
      </c>
      <c r="L76" s="14" t="s">
        <v>906</v>
      </c>
      <c r="M76" s="14" t="s">
        <v>850</v>
      </c>
    </row>
    <row r="77" spans="1:13" ht="44" customHeight="1">
      <c r="A77" s="29" t="s">
        <v>50</v>
      </c>
      <c r="B77" s="17" t="s">
        <v>53</v>
      </c>
      <c r="C77" s="17" t="s">
        <v>52</v>
      </c>
      <c r="D77" s="17">
        <v>9</v>
      </c>
      <c r="E77" s="17" t="s">
        <v>907</v>
      </c>
      <c r="F77" s="17" t="s">
        <v>908</v>
      </c>
      <c r="G77" s="17" t="s">
        <v>909</v>
      </c>
      <c r="H77" s="17" t="s">
        <v>910</v>
      </c>
      <c r="I77" s="17" t="s">
        <v>911</v>
      </c>
      <c r="J77" s="17" t="s">
        <v>912</v>
      </c>
      <c r="K77" s="17" t="s">
        <v>913</v>
      </c>
      <c r="L77" s="17" t="s">
        <v>914</v>
      </c>
      <c r="M77" s="17" t="s">
        <v>850</v>
      </c>
    </row>
    <row r="78" spans="1:13" ht="44" customHeight="1">
      <c r="A78" s="30" t="s">
        <v>50</v>
      </c>
      <c r="B78" s="16" t="s">
        <v>53</v>
      </c>
      <c r="C78" s="16" t="s">
        <v>52</v>
      </c>
      <c r="D78" s="16">
        <v>10</v>
      </c>
      <c r="E78" s="16" t="s">
        <v>387</v>
      </c>
      <c r="F78" s="16" t="s">
        <v>915</v>
      </c>
      <c r="G78" s="16" t="s">
        <v>916</v>
      </c>
      <c r="H78" s="16" t="s">
        <v>917</v>
      </c>
      <c r="I78" s="16" t="s">
        <v>918</v>
      </c>
      <c r="J78" s="16" t="s">
        <v>919</v>
      </c>
      <c r="K78" s="16" t="s">
        <v>920</v>
      </c>
      <c r="L78" s="16" t="s">
        <v>921</v>
      </c>
      <c r="M78" s="16" t="s">
        <v>850</v>
      </c>
    </row>
    <row r="79" spans="1:13" ht="44" customHeight="1">
      <c r="A79" s="29" t="s">
        <v>50</v>
      </c>
      <c r="B79" s="17" t="s">
        <v>53</v>
      </c>
      <c r="C79" s="17" t="s">
        <v>52</v>
      </c>
      <c r="D79" s="17">
        <v>11</v>
      </c>
      <c r="E79" s="17" t="s">
        <v>922</v>
      </c>
      <c r="F79" s="17" t="s">
        <v>923</v>
      </c>
      <c r="G79" s="17" t="s">
        <v>924</v>
      </c>
      <c r="H79" s="17" t="s">
        <v>925</v>
      </c>
      <c r="I79" s="17" t="s">
        <v>926</v>
      </c>
      <c r="J79" s="17" t="s">
        <v>927</v>
      </c>
      <c r="K79" s="17" t="s">
        <v>928</v>
      </c>
      <c r="L79" s="17" t="s">
        <v>929</v>
      </c>
      <c r="M79" s="17" t="s">
        <v>850</v>
      </c>
    </row>
    <row r="80" spans="1:13" ht="44" customHeight="1">
      <c r="A80" s="32" t="s">
        <v>50</v>
      </c>
      <c r="B80" s="31" t="s">
        <v>53</v>
      </c>
      <c r="C80" s="31" t="s">
        <v>52</v>
      </c>
      <c r="D80" s="31">
        <v>12</v>
      </c>
      <c r="E80" s="31" t="s">
        <v>930</v>
      </c>
      <c r="F80" s="31" t="s">
        <v>931</v>
      </c>
      <c r="G80" s="31" t="s">
        <v>932</v>
      </c>
      <c r="H80" s="31" t="s">
        <v>933</v>
      </c>
      <c r="I80" s="31" t="s">
        <v>934</v>
      </c>
      <c r="J80" s="31" t="s">
        <v>935</v>
      </c>
      <c r="K80" s="31" t="s">
        <v>936</v>
      </c>
      <c r="L80" s="31" t="s">
        <v>937</v>
      </c>
      <c r="M80" s="31" t="s">
        <v>850</v>
      </c>
    </row>
    <row r="81" spans="1:13" ht="44" customHeight="1">
      <c r="A81" s="29" t="s">
        <v>50</v>
      </c>
      <c r="B81" s="17" t="s">
        <v>53</v>
      </c>
      <c r="C81" s="17" t="s">
        <v>52</v>
      </c>
      <c r="D81" s="17">
        <v>13</v>
      </c>
      <c r="E81" s="17" t="s">
        <v>938</v>
      </c>
      <c r="F81" s="17" t="s">
        <v>939</v>
      </c>
      <c r="G81" s="17" t="s">
        <v>940</v>
      </c>
      <c r="H81" s="17" t="s">
        <v>941</v>
      </c>
      <c r="I81" s="17" t="s">
        <v>942</v>
      </c>
      <c r="J81" s="17" t="s">
        <v>943</v>
      </c>
      <c r="K81" s="17" t="s">
        <v>944</v>
      </c>
      <c r="L81" s="17" t="s">
        <v>945</v>
      </c>
      <c r="M81" s="17" t="s">
        <v>850</v>
      </c>
    </row>
    <row r="82" spans="1:13" ht="44" customHeight="1">
      <c r="A82" s="30" t="s">
        <v>50</v>
      </c>
      <c r="B82" s="16" t="s">
        <v>53</v>
      </c>
      <c r="C82" s="16" t="s">
        <v>52</v>
      </c>
      <c r="D82" s="16">
        <v>14</v>
      </c>
      <c r="E82" s="16" t="s">
        <v>946</v>
      </c>
      <c r="F82" s="16" t="s">
        <v>947</v>
      </c>
      <c r="G82" s="16" t="s">
        <v>948</v>
      </c>
      <c r="H82" s="16" t="s">
        <v>949</v>
      </c>
      <c r="I82" s="16" t="s">
        <v>950</v>
      </c>
      <c r="J82" s="16" t="s">
        <v>951</v>
      </c>
      <c r="K82" s="16" t="s">
        <v>952</v>
      </c>
      <c r="L82" s="16" t="s">
        <v>953</v>
      </c>
      <c r="M82" s="16" t="s">
        <v>850</v>
      </c>
    </row>
    <row r="83" spans="1:13" ht="44" customHeight="1">
      <c r="A83" s="33" t="s">
        <v>50</v>
      </c>
      <c r="B83" s="18" t="s">
        <v>53</v>
      </c>
      <c r="C83" s="18" t="s">
        <v>52</v>
      </c>
      <c r="D83" s="18">
        <v>15</v>
      </c>
      <c r="E83" s="18" t="s">
        <v>954</v>
      </c>
      <c r="F83" s="18" t="s">
        <v>955</v>
      </c>
      <c r="G83" s="18" t="s">
        <v>956</v>
      </c>
      <c r="H83" s="18" t="s">
        <v>957</v>
      </c>
      <c r="I83" s="18" t="s">
        <v>958</v>
      </c>
      <c r="J83" s="18" t="s">
        <v>959</v>
      </c>
      <c r="K83" s="18" t="s">
        <v>960</v>
      </c>
      <c r="L83" s="18" t="s">
        <v>961</v>
      </c>
      <c r="M83" s="18" t="s">
        <v>850</v>
      </c>
    </row>
    <row r="84" spans="1:13" ht="44" customHeight="1">
      <c r="A84" s="34" t="s">
        <v>50</v>
      </c>
      <c r="B84" s="19" t="s">
        <v>53</v>
      </c>
      <c r="C84" s="19" t="s">
        <v>52</v>
      </c>
      <c r="D84" s="19">
        <v>16</v>
      </c>
      <c r="E84" s="19" t="s">
        <v>962</v>
      </c>
      <c r="F84" s="19" t="s">
        <v>963</v>
      </c>
      <c r="G84" s="19" t="s">
        <v>964</v>
      </c>
      <c r="H84" s="19" t="s">
        <v>965</v>
      </c>
      <c r="I84" s="19" t="s">
        <v>966</v>
      </c>
      <c r="J84" s="19" t="s">
        <v>967</v>
      </c>
      <c r="K84" s="19" t="s">
        <v>968</v>
      </c>
      <c r="L84" s="19" t="s">
        <v>969</v>
      </c>
      <c r="M84" s="19" t="s">
        <v>850</v>
      </c>
    </row>
    <row r="85" spans="1:13" ht="44" customHeight="1">
      <c r="A85" s="29" t="s">
        <v>58</v>
      </c>
      <c r="B85" s="17" t="s">
        <v>61</v>
      </c>
      <c r="C85" s="17" t="s">
        <v>60</v>
      </c>
      <c r="D85" s="17">
        <v>1</v>
      </c>
      <c r="E85" s="17" t="s">
        <v>970</v>
      </c>
      <c r="F85" s="17" t="s">
        <v>971</v>
      </c>
      <c r="G85" s="17" t="s">
        <v>972</v>
      </c>
      <c r="H85" s="17" t="s">
        <v>973</v>
      </c>
      <c r="I85" s="17" t="s">
        <v>974</v>
      </c>
      <c r="J85" s="17" t="s">
        <v>975</v>
      </c>
      <c r="K85" s="17" t="s">
        <v>976</v>
      </c>
      <c r="L85" s="17" t="s">
        <v>977</v>
      </c>
      <c r="M85" s="17" t="s">
        <v>978</v>
      </c>
    </row>
    <row r="86" spans="1:13" ht="44" customHeight="1">
      <c r="A86" s="30" t="s">
        <v>58</v>
      </c>
      <c r="B86" s="16" t="s">
        <v>61</v>
      </c>
      <c r="C86" s="16" t="s">
        <v>60</v>
      </c>
      <c r="D86" s="16">
        <v>2</v>
      </c>
      <c r="E86" s="16" t="s">
        <v>979</v>
      </c>
      <c r="F86" s="16" t="s">
        <v>980</v>
      </c>
      <c r="G86" s="16" t="s">
        <v>981</v>
      </c>
      <c r="H86" s="16" t="s">
        <v>982</v>
      </c>
      <c r="I86" s="16" t="s">
        <v>983</v>
      </c>
      <c r="J86" s="16" t="s">
        <v>984</v>
      </c>
      <c r="K86" s="16" t="s">
        <v>985</v>
      </c>
      <c r="L86" s="16" t="s">
        <v>986</v>
      </c>
      <c r="M86" s="16" t="s">
        <v>978</v>
      </c>
    </row>
    <row r="87" spans="1:13" ht="44" customHeight="1">
      <c r="A87" s="29" t="s">
        <v>58</v>
      </c>
      <c r="B87" s="17" t="s">
        <v>61</v>
      </c>
      <c r="C87" s="17" t="s">
        <v>60</v>
      </c>
      <c r="D87" s="17">
        <v>3</v>
      </c>
      <c r="E87" s="17" t="s">
        <v>987</v>
      </c>
      <c r="F87" s="17" t="s">
        <v>988</v>
      </c>
      <c r="G87" s="17" t="s">
        <v>989</v>
      </c>
      <c r="H87" s="17" t="s">
        <v>990</v>
      </c>
      <c r="I87" s="17" t="s">
        <v>991</v>
      </c>
      <c r="J87" s="17" t="s">
        <v>992</v>
      </c>
      <c r="K87" s="17" t="s">
        <v>993</v>
      </c>
      <c r="L87" s="17" t="s">
        <v>994</v>
      </c>
      <c r="M87" s="17" t="s">
        <v>978</v>
      </c>
    </row>
    <row r="88" spans="1:13" ht="44" customHeight="1">
      <c r="A88" s="36" t="s">
        <v>58</v>
      </c>
      <c r="B88" s="35" t="s">
        <v>61</v>
      </c>
      <c r="C88" s="35" t="s">
        <v>60</v>
      </c>
      <c r="D88" s="35">
        <v>4</v>
      </c>
      <c r="E88" s="35" t="s">
        <v>995</v>
      </c>
      <c r="F88" s="35" t="s">
        <v>996</v>
      </c>
      <c r="G88" s="35" t="s">
        <v>997</v>
      </c>
      <c r="H88" s="35" t="s">
        <v>998</v>
      </c>
      <c r="I88" s="35" t="s">
        <v>999</v>
      </c>
      <c r="J88" s="35" t="s">
        <v>1000</v>
      </c>
      <c r="K88" s="35" t="s">
        <v>1001</v>
      </c>
      <c r="L88" s="35" t="s">
        <v>1002</v>
      </c>
      <c r="M88" s="35" t="s">
        <v>978</v>
      </c>
    </row>
    <row r="89" spans="1:13" ht="44" customHeight="1">
      <c r="A89" s="29" t="s">
        <v>58</v>
      </c>
      <c r="B89" s="17" t="s">
        <v>61</v>
      </c>
      <c r="C89" s="17" t="s">
        <v>60</v>
      </c>
      <c r="D89" s="17">
        <v>5</v>
      </c>
      <c r="E89" s="17" t="s">
        <v>1003</v>
      </c>
      <c r="F89" s="17" t="s">
        <v>1004</v>
      </c>
      <c r="G89" s="17" t="s">
        <v>1005</v>
      </c>
      <c r="H89" s="17" t="s">
        <v>1006</v>
      </c>
      <c r="I89" s="17" t="s">
        <v>1007</v>
      </c>
      <c r="J89" s="17" t="s">
        <v>1008</v>
      </c>
      <c r="K89" s="17" t="s">
        <v>1009</v>
      </c>
      <c r="L89" s="17" t="s">
        <v>1010</v>
      </c>
      <c r="M89" s="17" t="s">
        <v>978</v>
      </c>
    </row>
    <row r="90" spans="1:13" ht="44" customHeight="1">
      <c r="A90" s="30" t="s">
        <v>58</v>
      </c>
      <c r="B90" s="16" t="s">
        <v>61</v>
      </c>
      <c r="C90" s="16" t="s">
        <v>60</v>
      </c>
      <c r="D90" s="16">
        <v>6</v>
      </c>
      <c r="E90" s="16" t="s">
        <v>1011</v>
      </c>
      <c r="F90" s="16" t="s">
        <v>1012</v>
      </c>
      <c r="G90" s="16" t="s">
        <v>1013</v>
      </c>
      <c r="H90" s="16" t="s">
        <v>1014</v>
      </c>
      <c r="I90" s="16" t="s">
        <v>1015</v>
      </c>
      <c r="J90" s="16" t="s">
        <v>1016</v>
      </c>
      <c r="K90" s="16" t="s">
        <v>1017</v>
      </c>
      <c r="L90" s="16" t="s">
        <v>1018</v>
      </c>
      <c r="M90" s="16" t="s">
        <v>978</v>
      </c>
    </row>
    <row r="91" spans="1:13" ht="44" customHeight="1">
      <c r="A91" s="29" t="s">
        <v>58</v>
      </c>
      <c r="B91" s="17" t="s">
        <v>61</v>
      </c>
      <c r="C91" s="17" t="s">
        <v>60</v>
      </c>
      <c r="D91" s="17">
        <v>7</v>
      </c>
      <c r="E91" s="17" t="s">
        <v>506</v>
      </c>
      <c r="F91" s="17" t="s">
        <v>1019</v>
      </c>
      <c r="G91" s="17" t="s">
        <v>1020</v>
      </c>
      <c r="H91" s="17" t="s">
        <v>1021</v>
      </c>
      <c r="I91" s="17" t="s">
        <v>1022</v>
      </c>
      <c r="J91" s="17" t="s">
        <v>1023</v>
      </c>
      <c r="K91" s="17" t="s">
        <v>1024</v>
      </c>
      <c r="L91" s="17" t="s">
        <v>1025</v>
      </c>
      <c r="M91" s="17" t="s">
        <v>978</v>
      </c>
    </row>
    <row r="92" spans="1:13" ht="44" customHeight="1">
      <c r="A92" s="38" t="s">
        <v>58</v>
      </c>
      <c r="B92" s="37" t="s">
        <v>61</v>
      </c>
      <c r="C92" s="37" t="s">
        <v>60</v>
      </c>
      <c r="D92" s="37">
        <v>8</v>
      </c>
      <c r="E92" s="37" t="s">
        <v>1026</v>
      </c>
      <c r="F92" s="37" t="s">
        <v>1027</v>
      </c>
      <c r="G92" s="37" t="s">
        <v>1028</v>
      </c>
      <c r="H92" s="37" t="s">
        <v>1029</v>
      </c>
      <c r="I92" s="37" t="s">
        <v>1030</v>
      </c>
      <c r="J92" s="37" t="s">
        <v>1031</v>
      </c>
      <c r="K92" s="37" t="s">
        <v>1032</v>
      </c>
      <c r="L92" s="37" t="s">
        <v>1033</v>
      </c>
      <c r="M92" s="37" t="s">
        <v>978</v>
      </c>
    </row>
    <row r="93" spans="1:13" ht="44" customHeight="1">
      <c r="A93" s="29" t="s">
        <v>58</v>
      </c>
      <c r="B93" s="17" t="s">
        <v>61</v>
      </c>
      <c r="C93" s="17" t="s">
        <v>60</v>
      </c>
      <c r="D93" s="17">
        <v>9</v>
      </c>
      <c r="E93" s="17" t="s">
        <v>1034</v>
      </c>
      <c r="F93" s="17" t="s">
        <v>1035</v>
      </c>
      <c r="G93" s="17" t="s">
        <v>1036</v>
      </c>
      <c r="H93" s="17" t="s">
        <v>1037</v>
      </c>
      <c r="I93" s="17" t="s">
        <v>1038</v>
      </c>
      <c r="J93" s="17" t="s">
        <v>1039</v>
      </c>
      <c r="K93" s="17" t="s">
        <v>1040</v>
      </c>
      <c r="L93" s="17" t="s">
        <v>1041</v>
      </c>
      <c r="M93" s="17" t="s">
        <v>978</v>
      </c>
    </row>
    <row r="94" spans="1:13" ht="44" customHeight="1">
      <c r="A94" s="30" t="s">
        <v>58</v>
      </c>
      <c r="B94" s="16" t="s">
        <v>61</v>
      </c>
      <c r="C94" s="16" t="s">
        <v>60</v>
      </c>
      <c r="D94" s="16">
        <v>10</v>
      </c>
      <c r="E94" s="16" t="s">
        <v>1042</v>
      </c>
      <c r="F94" s="16" t="s">
        <v>1043</v>
      </c>
      <c r="G94" s="16" t="s">
        <v>1044</v>
      </c>
      <c r="H94" s="16" t="s">
        <v>1045</v>
      </c>
      <c r="I94" s="16" t="s">
        <v>1046</v>
      </c>
      <c r="J94" s="16" t="s">
        <v>1047</v>
      </c>
      <c r="K94" s="16" t="s">
        <v>1048</v>
      </c>
      <c r="L94" s="16" t="s">
        <v>1049</v>
      </c>
      <c r="M94" s="16" t="s">
        <v>978</v>
      </c>
    </row>
    <row r="95" spans="1:13" ht="44" customHeight="1">
      <c r="A95" s="29" t="s">
        <v>58</v>
      </c>
      <c r="B95" s="17" t="s">
        <v>61</v>
      </c>
      <c r="C95" s="17" t="s">
        <v>60</v>
      </c>
      <c r="D95" s="17">
        <v>11</v>
      </c>
      <c r="E95" s="17" t="s">
        <v>1050</v>
      </c>
      <c r="F95" s="17" t="s">
        <v>1051</v>
      </c>
      <c r="G95" s="17" t="s">
        <v>1052</v>
      </c>
      <c r="H95" s="17" t="s">
        <v>1053</v>
      </c>
      <c r="I95" s="17" t="s">
        <v>1054</v>
      </c>
      <c r="J95" s="17" t="s">
        <v>1055</v>
      </c>
      <c r="K95" s="17" t="s">
        <v>1056</v>
      </c>
      <c r="L95" s="17" t="s">
        <v>1057</v>
      </c>
      <c r="M95" s="17" t="s">
        <v>978</v>
      </c>
    </row>
    <row r="96" spans="1:13" ht="44" customHeight="1">
      <c r="A96" s="32" t="s">
        <v>58</v>
      </c>
      <c r="B96" s="31" t="s">
        <v>61</v>
      </c>
      <c r="C96" s="31" t="s">
        <v>60</v>
      </c>
      <c r="D96" s="31">
        <v>12</v>
      </c>
      <c r="E96" s="31" t="s">
        <v>1058</v>
      </c>
      <c r="F96" s="31" t="s">
        <v>1059</v>
      </c>
      <c r="G96" s="31" t="s">
        <v>1060</v>
      </c>
      <c r="H96" s="31" t="s">
        <v>1061</v>
      </c>
      <c r="I96" s="31" t="s">
        <v>1062</v>
      </c>
      <c r="J96" s="31" t="s">
        <v>1063</v>
      </c>
      <c r="K96" s="31" t="s">
        <v>1064</v>
      </c>
      <c r="L96" s="31" t="s">
        <v>1065</v>
      </c>
      <c r="M96" s="31" t="s">
        <v>978</v>
      </c>
    </row>
    <row r="97" spans="1:13" ht="44" customHeight="1">
      <c r="A97" s="29" t="s">
        <v>58</v>
      </c>
      <c r="B97" s="17" t="s">
        <v>61</v>
      </c>
      <c r="C97" s="17" t="s">
        <v>60</v>
      </c>
      <c r="D97" s="17">
        <v>13</v>
      </c>
      <c r="E97" s="17" t="s">
        <v>1066</v>
      </c>
      <c r="F97" s="17" t="s">
        <v>1067</v>
      </c>
      <c r="G97" s="17" t="s">
        <v>1068</v>
      </c>
      <c r="H97" s="17" t="s">
        <v>1069</v>
      </c>
      <c r="I97" s="17" t="s">
        <v>1070</v>
      </c>
      <c r="J97" s="17" t="s">
        <v>1071</v>
      </c>
      <c r="K97" s="17" t="s">
        <v>1072</v>
      </c>
      <c r="L97" s="17" t="s">
        <v>1073</v>
      </c>
      <c r="M97" s="17" t="s">
        <v>978</v>
      </c>
    </row>
    <row r="98" spans="1:13" ht="44" customHeight="1">
      <c r="A98" s="30" t="s">
        <v>58</v>
      </c>
      <c r="B98" s="16" t="s">
        <v>61</v>
      </c>
      <c r="C98" s="16" t="s">
        <v>60</v>
      </c>
      <c r="D98" s="16">
        <v>14</v>
      </c>
      <c r="E98" s="16" t="s">
        <v>1074</v>
      </c>
      <c r="F98" s="16" t="s">
        <v>1075</v>
      </c>
      <c r="G98" s="16" t="s">
        <v>1076</v>
      </c>
      <c r="H98" s="16" t="s">
        <v>1077</v>
      </c>
      <c r="I98" s="16" t="s">
        <v>1078</v>
      </c>
      <c r="J98" s="16" t="s">
        <v>1079</v>
      </c>
      <c r="K98" s="16" t="s">
        <v>1080</v>
      </c>
      <c r="L98" s="16" t="s">
        <v>1081</v>
      </c>
      <c r="M98" s="16" t="s">
        <v>978</v>
      </c>
    </row>
    <row r="99" spans="1:13" ht="44" customHeight="1">
      <c r="A99" s="33" t="s">
        <v>58</v>
      </c>
      <c r="B99" s="18" t="s">
        <v>61</v>
      </c>
      <c r="C99" s="18" t="s">
        <v>60</v>
      </c>
      <c r="D99" s="18">
        <v>15</v>
      </c>
      <c r="E99" s="18" t="s">
        <v>1082</v>
      </c>
      <c r="F99" s="18" t="s">
        <v>1083</v>
      </c>
      <c r="G99" s="18" t="s">
        <v>1084</v>
      </c>
      <c r="H99" s="18" t="s">
        <v>1085</v>
      </c>
      <c r="I99" s="18" t="s">
        <v>1086</v>
      </c>
      <c r="J99" s="18" t="s">
        <v>1087</v>
      </c>
      <c r="K99" s="18" t="s">
        <v>1088</v>
      </c>
      <c r="L99" s="18" t="s">
        <v>1089</v>
      </c>
      <c r="M99" s="18" t="s">
        <v>978</v>
      </c>
    </row>
    <row r="100" spans="1:13" ht="44" customHeight="1">
      <c r="A100" s="34" t="s">
        <v>58</v>
      </c>
      <c r="B100" s="19" t="s">
        <v>61</v>
      </c>
      <c r="C100" s="19" t="s">
        <v>60</v>
      </c>
      <c r="D100" s="19">
        <v>16</v>
      </c>
      <c r="E100" s="19" t="s">
        <v>1090</v>
      </c>
      <c r="F100" s="19" t="s">
        <v>1091</v>
      </c>
      <c r="G100" s="19" t="s">
        <v>1092</v>
      </c>
      <c r="H100" s="19" t="s">
        <v>1093</v>
      </c>
      <c r="I100" s="19" t="s">
        <v>1094</v>
      </c>
      <c r="J100" s="19" t="s">
        <v>1095</v>
      </c>
      <c r="K100" s="19" t="s">
        <v>1096</v>
      </c>
      <c r="L100" s="19" t="s">
        <v>1097</v>
      </c>
      <c r="M100" s="19" t="s">
        <v>978</v>
      </c>
    </row>
  </sheetData>
  <mergeCells count="2">
    <mergeCell ref="A1:M1"/>
    <mergeCell ref="A2:M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5"/>
  <sheetViews>
    <sheetView tabSelected="1" topLeftCell="A17" workbookViewId="0">
      <selection activeCell="D21" sqref="D21"/>
    </sheetView>
  </sheetViews>
  <sheetFormatPr defaultRowHeight="14"/>
  <cols>
    <col min="1" max="1" width="8" customWidth="1"/>
    <col min="2" max="2" width="16" customWidth="1"/>
    <col min="3" max="3" width="34" customWidth="1"/>
    <col min="4" max="5" width="39" customWidth="1"/>
    <col min="6" max="6" width="42" customWidth="1"/>
    <col min="7" max="7" width="51" customWidth="1"/>
    <col min="8" max="8" width="43" customWidth="1"/>
    <col min="9" max="9" width="33" customWidth="1"/>
    <col min="10" max="13" width="37" customWidth="1"/>
  </cols>
  <sheetData>
    <row r="1" spans="1:13" ht="18.649999999999999" customHeight="1">
      <c r="A1" s="60" t="s">
        <v>1098</v>
      </c>
      <c r="B1" s="60"/>
      <c r="C1" s="60"/>
      <c r="D1" s="60"/>
      <c r="E1" s="60"/>
      <c r="F1" s="60"/>
      <c r="G1" s="60"/>
      <c r="H1" s="60"/>
      <c r="I1" s="60"/>
      <c r="J1" s="60"/>
      <c r="K1" s="60"/>
      <c r="L1" s="60"/>
      <c r="M1" s="60"/>
    </row>
    <row r="2" spans="1:13" ht="17.399999999999999" customHeight="1">
      <c r="A2" s="61" t="s">
        <v>1099</v>
      </c>
      <c r="B2" s="61"/>
      <c r="C2" s="61"/>
      <c r="D2" s="61"/>
      <c r="E2" s="61"/>
      <c r="F2" s="61"/>
      <c r="G2" s="61"/>
      <c r="H2" s="61"/>
      <c r="I2" s="61"/>
      <c r="J2" s="61"/>
      <c r="K2" s="61"/>
      <c r="L2" s="61"/>
      <c r="M2" s="61"/>
    </row>
    <row r="3" spans="1:13" ht="36" customHeight="1">
      <c r="A3" s="9" t="s">
        <v>1100</v>
      </c>
      <c r="B3" s="69" t="s">
        <v>1101</v>
      </c>
      <c r="C3" s="69"/>
      <c r="D3" s="69"/>
      <c r="E3" s="69"/>
      <c r="F3" s="69"/>
      <c r="G3" s="69"/>
      <c r="H3" s="69"/>
      <c r="I3" s="69"/>
      <c r="J3" s="69"/>
      <c r="K3" s="69"/>
      <c r="L3" s="69"/>
      <c r="M3" s="69"/>
    </row>
    <row r="4" spans="1:13" ht="48" customHeight="1">
      <c r="A4" s="9" t="s">
        <v>17</v>
      </c>
      <c r="B4" s="69" t="s">
        <v>25</v>
      </c>
      <c r="C4" s="69"/>
      <c r="D4" s="69"/>
      <c r="E4" s="69"/>
      <c r="F4" s="69"/>
      <c r="G4" s="69"/>
      <c r="H4" s="69"/>
      <c r="I4" s="69"/>
      <c r="J4" s="69"/>
      <c r="K4" s="69"/>
      <c r="L4" s="69"/>
      <c r="M4" s="69"/>
    </row>
    <row r="5" spans="1:13" ht="42.5" customHeight="1">
      <c r="A5" s="9" t="s">
        <v>18</v>
      </c>
      <c r="B5" s="69" t="s">
        <v>26</v>
      </c>
      <c r="C5" s="69"/>
      <c r="D5" s="69"/>
      <c r="E5" s="69"/>
      <c r="F5" s="69"/>
      <c r="G5" s="69"/>
      <c r="H5" s="69"/>
      <c r="I5" s="69"/>
      <c r="J5" s="69"/>
      <c r="K5" s="69"/>
      <c r="L5" s="69"/>
      <c r="M5" s="69"/>
    </row>
    <row r="6" spans="1:13" ht="45" customHeight="1">
      <c r="A6" s="9" t="s">
        <v>1102</v>
      </c>
      <c r="B6" s="69" t="s">
        <v>1103</v>
      </c>
      <c r="C6" s="69"/>
      <c r="D6" s="69"/>
      <c r="E6" s="69"/>
      <c r="F6" s="69"/>
      <c r="G6" s="69"/>
      <c r="H6" s="69"/>
      <c r="I6" s="69"/>
      <c r="J6" s="69"/>
      <c r="K6" s="69"/>
      <c r="L6" s="69"/>
      <c r="M6" s="69"/>
    </row>
    <row r="7" spans="1:13" ht="48" customHeight="1">
      <c r="A7" s="9" t="s">
        <v>1104</v>
      </c>
      <c r="B7" s="70" t="s">
        <v>1105</v>
      </c>
      <c r="C7" s="70"/>
      <c r="D7" s="70"/>
      <c r="E7" s="70"/>
      <c r="F7" s="70"/>
      <c r="G7" s="70"/>
      <c r="H7" s="70"/>
      <c r="I7" s="70"/>
      <c r="J7" s="70"/>
      <c r="K7" s="70"/>
      <c r="L7" s="70"/>
      <c r="M7" s="70"/>
    </row>
    <row r="9" spans="1:13" ht="30.65" customHeight="1">
      <c r="A9" s="50" t="s">
        <v>321</v>
      </c>
      <c r="B9" s="50" t="s">
        <v>1106</v>
      </c>
      <c r="C9" s="50" t="s">
        <v>1107</v>
      </c>
      <c r="D9" s="50" t="s">
        <v>1108</v>
      </c>
      <c r="E9" s="50" t="s">
        <v>1109</v>
      </c>
      <c r="F9" s="50" t="s">
        <v>1110</v>
      </c>
      <c r="G9" s="50" t="s">
        <v>1111</v>
      </c>
      <c r="H9" s="50" t="s">
        <v>1112</v>
      </c>
      <c r="I9" s="50" t="s">
        <v>1113</v>
      </c>
      <c r="J9" s="50" t="s">
        <v>1114</v>
      </c>
      <c r="K9" s="50" t="s">
        <v>1115</v>
      </c>
      <c r="L9" s="50" t="s">
        <v>1116</v>
      </c>
      <c r="M9" s="50" t="s">
        <v>1117</v>
      </c>
    </row>
    <row r="10" spans="1:13" ht="62.65" customHeight="1">
      <c r="A10" s="41">
        <v>1</v>
      </c>
      <c r="B10" s="40" t="s">
        <v>331</v>
      </c>
      <c r="C10" s="40" t="s">
        <v>332</v>
      </c>
      <c r="D10" s="40" t="s">
        <v>333</v>
      </c>
      <c r="E10" s="40" t="s">
        <v>334</v>
      </c>
      <c r="F10" s="40" t="s">
        <v>1118</v>
      </c>
      <c r="G10" s="40" t="s">
        <v>1119</v>
      </c>
      <c r="H10" s="40" t="s">
        <v>1120</v>
      </c>
      <c r="I10" s="40" t="s">
        <v>1121</v>
      </c>
      <c r="J10" s="40" t="s">
        <v>337</v>
      </c>
      <c r="K10" s="40" t="s">
        <v>338</v>
      </c>
      <c r="L10" s="40" t="s">
        <v>1122</v>
      </c>
      <c r="M10" s="40" t="s">
        <v>339</v>
      </c>
    </row>
    <row r="11" spans="1:13" ht="62.65" customHeight="1">
      <c r="A11" s="41">
        <v>2</v>
      </c>
      <c r="B11" s="42" t="s">
        <v>340</v>
      </c>
      <c r="C11" s="42" t="s">
        <v>341</v>
      </c>
      <c r="D11" s="42" t="s">
        <v>342</v>
      </c>
      <c r="E11" s="42" t="s">
        <v>343</v>
      </c>
      <c r="F11" s="42" t="s">
        <v>1123</v>
      </c>
      <c r="G11" s="42" t="s">
        <v>1124</v>
      </c>
      <c r="H11" s="42" t="s">
        <v>1125</v>
      </c>
      <c r="I11" s="42" t="s">
        <v>1126</v>
      </c>
      <c r="J11" s="42" t="s">
        <v>346</v>
      </c>
      <c r="K11" s="42" t="s">
        <v>347</v>
      </c>
      <c r="L11" s="42" t="s">
        <v>1127</v>
      </c>
      <c r="M11" s="42" t="s">
        <v>339</v>
      </c>
    </row>
    <row r="12" spans="1:13" ht="62.65" customHeight="1">
      <c r="A12" s="41">
        <v>3</v>
      </c>
      <c r="B12" s="40" t="s">
        <v>348</v>
      </c>
      <c r="C12" s="40" t="s">
        <v>349</v>
      </c>
      <c r="D12" s="40" t="s">
        <v>350</v>
      </c>
      <c r="E12" s="40" t="s">
        <v>351</v>
      </c>
      <c r="F12" s="40" t="s">
        <v>1128</v>
      </c>
      <c r="G12" s="40" t="s">
        <v>1129</v>
      </c>
      <c r="H12" s="40" t="s">
        <v>1130</v>
      </c>
      <c r="I12" s="40" t="s">
        <v>1131</v>
      </c>
      <c r="J12" s="40" t="s">
        <v>354</v>
      </c>
      <c r="K12" s="40" t="s">
        <v>355</v>
      </c>
      <c r="L12" s="40" t="s">
        <v>1132</v>
      </c>
      <c r="M12" s="40" t="s">
        <v>339</v>
      </c>
    </row>
    <row r="13" spans="1:13" ht="62.65" customHeight="1">
      <c r="A13" s="41">
        <v>4</v>
      </c>
      <c r="B13" s="43" t="s">
        <v>356</v>
      </c>
      <c r="C13" s="43" t="s">
        <v>357</v>
      </c>
      <c r="D13" s="43" t="s">
        <v>358</v>
      </c>
      <c r="E13" s="43" t="s">
        <v>359</v>
      </c>
      <c r="F13" s="43" t="s">
        <v>1133</v>
      </c>
      <c r="G13" s="43" t="s">
        <v>1134</v>
      </c>
      <c r="H13" s="43" t="s">
        <v>1135</v>
      </c>
      <c r="I13" s="43" t="s">
        <v>1136</v>
      </c>
      <c r="J13" s="43" t="s">
        <v>362</v>
      </c>
      <c r="K13" s="43" t="s">
        <v>363</v>
      </c>
      <c r="L13" s="43" t="s">
        <v>1137</v>
      </c>
      <c r="M13" s="43" t="s">
        <v>339</v>
      </c>
    </row>
    <row r="14" spans="1:13" ht="62.65" customHeight="1">
      <c r="A14" s="41">
        <v>5</v>
      </c>
      <c r="B14" s="42" t="s">
        <v>340</v>
      </c>
      <c r="C14" s="42" t="s">
        <v>364</v>
      </c>
      <c r="D14" s="42" t="s">
        <v>365</v>
      </c>
      <c r="E14" s="42" t="s">
        <v>366</v>
      </c>
      <c r="F14" s="42" t="s">
        <v>1138</v>
      </c>
      <c r="G14" s="42" t="s">
        <v>1139</v>
      </c>
      <c r="H14" s="42" t="s">
        <v>1140</v>
      </c>
      <c r="I14" s="42" t="s">
        <v>1141</v>
      </c>
      <c r="J14" s="42" t="s">
        <v>369</v>
      </c>
      <c r="K14" s="42" t="s">
        <v>370</v>
      </c>
      <c r="L14" s="42" t="s">
        <v>1142</v>
      </c>
      <c r="M14" s="42" t="s">
        <v>339</v>
      </c>
    </row>
    <row r="15" spans="1:13" ht="62.65" customHeight="1">
      <c r="A15" s="41">
        <v>6</v>
      </c>
      <c r="B15" s="44" t="s">
        <v>371</v>
      </c>
      <c r="C15" s="44" t="s">
        <v>372</v>
      </c>
      <c r="D15" s="44" t="s">
        <v>373</v>
      </c>
      <c r="E15" s="44" t="s">
        <v>374</v>
      </c>
      <c r="F15" s="44" t="s">
        <v>1143</v>
      </c>
      <c r="G15" s="44" t="s">
        <v>1144</v>
      </c>
      <c r="H15" s="44" t="s">
        <v>1145</v>
      </c>
      <c r="I15" s="44" t="s">
        <v>1146</v>
      </c>
      <c r="J15" s="44" t="s">
        <v>377</v>
      </c>
      <c r="K15" s="44" t="s">
        <v>378</v>
      </c>
      <c r="L15" s="44" t="s">
        <v>1147</v>
      </c>
      <c r="M15" s="44" t="s">
        <v>339</v>
      </c>
    </row>
    <row r="16" spans="1:13" ht="62.65" customHeight="1">
      <c r="A16" s="41">
        <v>7</v>
      </c>
      <c r="B16" s="40" t="s">
        <v>379</v>
      </c>
      <c r="C16" s="40" t="s">
        <v>380</v>
      </c>
      <c r="D16" s="40" t="s">
        <v>381</v>
      </c>
      <c r="E16" s="40" t="s">
        <v>382</v>
      </c>
      <c r="F16" s="40" t="s">
        <v>1148</v>
      </c>
      <c r="G16" s="40" t="s">
        <v>1149</v>
      </c>
      <c r="H16" s="40" t="s">
        <v>1150</v>
      </c>
      <c r="I16" s="40" t="s">
        <v>1151</v>
      </c>
      <c r="J16" s="40" t="s">
        <v>385</v>
      </c>
      <c r="K16" s="40" t="s">
        <v>386</v>
      </c>
      <c r="L16" s="40" t="s">
        <v>1152</v>
      </c>
      <c r="M16" s="40" t="s">
        <v>339</v>
      </c>
    </row>
    <row r="17" spans="1:13" ht="62.65" customHeight="1">
      <c r="A17" s="41">
        <v>8</v>
      </c>
      <c r="B17" s="45" t="s">
        <v>387</v>
      </c>
      <c r="C17" s="45" t="s">
        <v>388</v>
      </c>
      <c r="D17" s="45" t="s">
        <v>389</v>
      </c>
      <c r="E17" s="45" t="s">
        <v>390</v>
      </c>
      <c r="F17" s="45" t="s">
        <v>1153</v>
      </c>
      <c r="G17" s="45" t="s">
        <v>1154</v>
      </c>
      <c r="H17" s="45" t="s">
        <v>1155</v>
      </c>
      <c r="I17" s="45" t="s">
        <v>1156</v>
      </c>
      <c r="J17" s="45" t="s">
        <v>393</v>
      </c>
      <c r="K17" s="45" t="s">
        <v>394</v>
      </c>
      <c r="L17" s="45" t="s">
        <v>1157</v>
      </c>
      <c r="M17" s="45" t="s">
        <v>339</v>
      </c>
    </row>
    <row r="18" spans="1:13" ht="62.65" customHeight="1">
      <c r="A18" s="41">
        <v>9</v>
      </c>
      <c r="B18" s="40" t="s">
        <v>348</v>
      </c>
      <c r="C18" s="40" t="s">
        <v>395</v>
      </c>
      <c r="D18" s="40" t="s">
        <v>396</v>
      </c>
      <c r="E18" s="40" t="s">
        <v>397</v>
      </c>
      <c r="F18" s="40" t="s">
        <v>1158</v>
      </c>
      <c r="G18" s="40" t="s">
        <v>1159</v>
      </c>
      <c r="H18" s="40" t="s">
        <v>1160</v>
      </c>
      <c r="I18" s="40" t="s">
        <v>1161</v>
      </c>
      <c r="J18" s="40" t="s">
        <v>400</v>
      </c>
      <c r="K18" s="40" t="s">
        <v>401</v>
      </c>
      <c r="L18" s="40" t="s">
        <v>1162</v>
      </c>
      <c r="M18" s="40" t="s">
        <v>339</v>
      </c>
    </row>
    <row r="19" spans="1:13" ht="62.65" customHeight="1">
      <c r="A19" s="41">
        <v>10</v>
      </c>
      <c r="B19" s="43" t="s">
        <v>356</v>
      </c>
      <c r="C19" s="43" t="s">
        <v>402</v>
      </c>
      <c r="D19" s="43" t="s">
        <v>403</v>
      </c>
      <c r="E19" s="43" t="s">
        <v>404</v>
      </c>
      <c r="F19" s="43" t="s">
        <v>1163</v>
      </c>
      <c r="G19" s="43" t="s">
        <v>1164</v>
      </c>
      <c r="H19" s="43" t="s">
        <v>1165</v>
      </c>
      <c r="I19" s="43" t="s">
        <v>1166</v>
      </c>
      <c r="J19" s="43" t="s">
        <v>407</v>
      </c>
      <c r="K19" s="43" t="s">
        <v>408</v>
      </c>
      <c r="L19" s="43" t="s">
        <v>1167</v>
      </c>
      <c r="M19" s="43" t="s">
        <v>339</v>
      </c>
    </row>
    <row r="20" spans="1:13" ht="62.65" customHeight="1">
      <c r="A20" s="41">
        <v>11</v>
      </c>
      <c r="B20" s="40" t="s">
        <v>409</v>
      </c>
      <c r="C20" s="40" t="s">
        <v>410</v>
      </c>
      <c r="D20" s="40" t="s">
        <v>411</v>
      </c>
      <c r="E20" s="40" t="s">
        <v>412</v>
      </c>
      <c r="F20" s="40" t="s">
        <v>1168</v>
      </c>
      <c r="G20" s="40" t="s">
        <v>1169</v>
      </c>
      <c r="H20" s="40" t="s">
        <v>1170</v>
      </c>
      <c r="I20" s="40" t="s">
        <v>1171</v>
      </c>
      <c r="J20" s="40" t="s">
        <v>415</v>
      </c>
      <c r="K20" s="40" t="s">
        <v>416</v>
      </c>
      <c r="L20" s="40" t="s">
        <v>1172</v>
      </c>
      <c r="M20" s="40" t="s">
        <v>417</v>
      </c>
    </row>
    <row r="21" spans="1:13" ht="62.65" customHeight="1">
      <c r="A21" s="41">
        <v>12</v>
      </c>
      <c r="B21" s="43" t="s">
        <v>418</v>
      </c>
      <c r="C21" s="43" t="s">
        <v>419</v>
      </c>
      <c r="D21" s="43" t="s">
        <v>420</v>
      </c>
      <c r="E21" s="43" t="s">
        <v>421</v>
      </c>
      <c r="F21" s="43" t="s">
        <v>1173</v>
      </c>
      <c r="G21" s="43" t="s">
        <v>1174</v>
      </c>
      <c r="H21" s="43" t="s">
        <v>1175</v>
      </c>
      <c r="I21" s="43" t="s">
        <v>1176</v>
      </c>
      <c r="J21" s="43" t="s">
        <v>424</v>
      </c>
      <c r="K21" s="43" t="s">
        <v>425</v>
      </c>
      <c r="L21" s="43" t="s">
        <v>1177</v>
      </c>
      <c r="M21" s="43" t="s">
        <v>339</v>
      </c>
    </row>
    <row r="22" spans="1:13" ht="62.65" customHeight="1">
      <c r="A22" s="47">
        <v>13</v>
      </c>
      <c r="B22" s="46" t="s">
        <v>426</v>
      </c>
      <c r="C22" s="46" t="s">
        <v>427</v>
      </c>
      <c r="D22" s="46" t="s">
        <v>428</v>
      </c>
      <c r="E22" s="46" t="s">
        <v>429</v>
      </c>
      <c r="F22" s="46" t="s">
        <v>1178</v>
      </c>
      <c r="G22" s="46" t="s">
        <v>1179</v>
      </c>
      <c r="H22" s="46" t="s">
        <v>1180</v>
      </c>
      <c r="I22" s="46" t="s">
        <v>1181</v>
      </c>
      <c r="J22" s="46" t="s">
        <v>432</v>
      </c>
      <c r="K22" s="46" t="s">
        <v>433</v>
      </c>
      <c r="L22" s="46" t="s">
        <v>1182</v>
      </c>
      <c r="M22" s="46" t="s">
        <v>339</v>
      </c>
    </row>
    <row r="23" spans="1:13" ht="62.65" customHeight="1">
      <c r="A23" s="47">
        <v>14</v>
      </c>
      <c r="B23" s="46" t="s">
        <v>426</v>
      </c>
      <c r="C23" s="46" t="s">
        <v>434</v>
      </c>
      <c r="D23" s="46" t="s">
        <v>435</v>
      </c>
      <c r="E23" s="46" t="s">
        <v>436</v>
      </c>
      <c r="F23" s="46" t="s">
        <v>1183</v>
      </c>
      <c r="G23" s="46" t="s">
        <v>1184</v>
      </c>
      <c r="H23" s="46" t="s">
        <v>1185</v>
      </c>
      <c r="I23" s="46" t="s">
        <v>1186</v>
      </c>
      <c r="J23" s="46" t="s">
        <v>439</v>
      </c>
      <c r="K23" s="46" t="s">
        <v>440</v>
      </c>
      <c r="L23" s="46" t="s">
        <v>1187</v>
      </c>
      <c r="M23" s="46" t="s">
        <v>339</v>
      </c>
    </row>
    <row r="24" spans="1:13" ht="62.65" customHeight="1">
      <c r="A24" s="47">
        <v>15</v>
      </c>
      <c r="B24" s="48" t="s">
        <v>441</v>
      </c>
      <c r="C24" s="48" t="s">
        <v>442</v>
      </c>
      <c r="D24" s="48" t="s">
        <v>443</v>
      </c>
      <c r="E24" s="48" t="s">
        <v>444</v>
      </c>
      <c r="F24" s="48" t="s">
        <v>1188</v>
      </c>
      <c r="G24" s="48" t="s">
        <v>1189</v>
      </c>
      <c r="H24" s="48" t="s">
        <v>1190</v>
      </c>
      <c r="I24" s="48" t="s">
        <v>1191</v>
      </c>
      <c r="J24" s="48" t="s">
        <v>447</v>
      </c>
      <c r="K24" s="48" t="s">
        <v>448</v>
      </c>
      <c r="L24" s="48" t="s">
        <v>1192</v>
      </c>
      <c r="M24" s="48" t="s">
        <v>339</v>
      </c>
    </row>
    <row r="25" spans="1:13" ht="62.65" customHeight="1">
      <c r="A25" s="47">
        <v>16</v>
      </c>
      <c r="B25" s="49" t="s">
        <v>449</v>
      </c>
      <c r="C25" s="49" t="s">
        <v>450</v>
      </c>
      <c r="D25" s="49" t="s">
        <v>451</v>
      </c>
      <c r="E25" s="49" t="s">
        <v>452</v>
      </c>
      <c r="F25" s="49" t="s">
        <v>1193</v>
      </c>
      <c r="G25" s="49" t="s">
        <v>1194</v>
      </c>
      <c r="H25" s="49" t="s">
        <v>1195</v>
      </c>
      <c r="I25" s="49" t="s">
        <v>1196</v>
      </c>
      <c r="J25" s="49" t="s">
        <v>455</v>
      </c>
      <c r="K25" s="49" t="s">
        <v>456</v>
      </c>
      <c r="L25" s="49" t="s">
        <v>1197</v>
      </c>
      <c r="M25" s="49" t="s">
        <v>339</v>
      </c>
    </row>
  </sheetData>
  <mergeCells count="7">
    <mergeCell ref="B6:M6"/>
    <mergeCell ref="B7:M7"/>
    <mergeCell ref="A1:M1"/>
    <mergeCell ref="A2:M2"/>
    <mergeCell ref="B3:M3"/>
    <mergeCell ref="B4:M4"/>
    <mergeCell ref="B5:M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topLeftCell="A19" workbookViewId="0">
      <selection sqref="A1:M1"/>
    </sheetView>
  </sheetViews>
  <sheetFormatPr defaultRowHeight="14"/>
  <cols>
    <col min="1" max="1" width="8" customWidth="1"/>
    <col min="2" max="2" width="16" customWidth="1"/>
    <col min="3" max="3" width="34" customWidth="1"/>
    <col min="4" max="5" width="39" customWidth="1"/>
    <col min="6" max="6" width="42" customWidth="1"/>
    <col min="7" max="7" width="51" customWidth="1"/>
    <col min="8" max="8" width="43" customWidth="1"/>
    <col min="9" max="9" width="33" customWidth="1"/>
    <col min="10" max="13" width="37" customWidth="1"/>
  </cols>
  <sheetData>
    <row r="1" spans="1:13" ht="18.649999999999999" customHeight="1">
      <c r="A1" s="60" t="s">
        <v>1198</v>
      </c>
      <c r="B1" s="60"/>
      <c r="C1" s="60"/>
      <c r="D1" s="60"/>
      <c r="E1" s="60"/>
      <c r="F1" s="60"/>
      <c r="G1" s="60"/>
      <c r="H1" s="60"/>
      <c r="I1" s="60"/>
      <c r="J1" s="60"/>
      <c r="K1" s="60"/>
      <c r="L1" s="60"/>
      <c r="M1" s="60"/>
    </row>
    <row r="2" spans="1:13" ht="17.399999999999999" customHeight="1">
      <c r="A2" s="61" t="s">
        <v>1199</v>
      </c>
      <c r="B2" s="61"/>
      <c r="C2" s="61"/>
      <c r="D2" s="61"/>
      <c r="E2" s="61"/>
      <c r="F2" s="61"/>
      <c r="G2" s="61"/>
      <c r="H2" s="61"/>
      <c r="I2" s="61"/>
      <c r="J2" s="61"/>
      <c r="K2" s="61"/>
      <c r="L2" s="61"/>
      <c r="M2" s="61"/>
    </row>
    <row r="3" spans="1:13" ht="18.649999999999999" customHeight="1">
      <c r="A3" s="9" t="s">
        <v>1100</v>
      </c>
      <c r="B3" s="69" t="s">
        <v>1200</v>
      </c>
      <c r="C3" s="69"/>
      <c r="D3" s="69"/>
      <c r="E3" s="69"/>
      <c r="F3" s="69"/>
      <c r="G3" s="69"/>
      <c r="H3" s="69"/>
      <c r="I3" s="69"/>
      <c r="J3" s="69"/>
      <c r="K3" s="69"/>
      <c r="L3" s="69"/>
      <c r="M3" s="69"/>
    </row>
    <row r="4" spans="1:13" ht="18.649999999999999" customHeight="1">
      <c r="A4" s="9" t="s">
        <v>17</v>
      </c>
      <c r="B4" s="69" t="s">
        <v>33</v>
      </c>
      <c r="C4" s="69"/>
      <c r="D4" s="69"/>
      <c r="E4" s="69"/>
      <c r="F4" s="69"/>
      <c r="G4" s="69"/>
      <c r="H4" s="69"/>
      <c r="I4" s="69"/>
      <c r="J4" s="69"/>
      <c r="K4" s="69"/>
      <c r="L4" s="69"/>
      <c r="M4" s="69"/>
    </row>
    <row r="5" spans="1:13" ht="18.649999999999999" customHeight="1">
      <c r="A5" s="9" t="s">
        <v>18</v>
      </c>
      <c r="B5" s="69" t="s">
        <v>34</v>
      </c>
      <c r="C5" s="69"/>
      <c r="D5" s="69"/>
      <c r="E5" s="69"/>
      <c r="F5" s="69"/>
      <c r="G5" s="69"/>
      <c r="H5" s="69"/>
      <c r="I5" s="69"/>
      <c r="J5" s="69"/>
      <c r="K5" s="69"/>
      <c r="L5" s="69"/>
      <c r="M5" s="69"/>
    </row>
    <row r="6" spans="1:13" ht="18.649999999999999" customHeight="1">
      <c r="A6" s="9" t="s">
        <v>1102</v>
      </c>
      <c r="B6" s="69" t="s">
        <v>1201</v>
      </c>
      <c r="C6" s="69"/>
      <c r="D6" s="69"/>
      <c r="E6" s="69"/>
      <c r="F6" s="69"/>
      <c r="G6" s="69"/>
      <c r="H6" s="69"/>
      <c r="I6" s="69"/>
      <c r="J6" s="69"/>
      <c r="K6" s="69"/>
      <c r="L6" s="69"/>
      <c r="M6" s="69"/>
    </row>
    <row r="7" spans="1:13" ht="18.649999999999999" customHeight="1">
      <c r="A7" s="9" t="s">
        <v>1104</v>
      </c>
      <c r="B7" s="70" t="s">
        <v>1105</v>
      </c>
      <c r="C7" s="70"/>
      <c r="D7" s="70"/>
      <c r="E7" s="70"/>
      <c r="F7" s="70"/>
      <c r="G7" s="70"/>
      <c r="H7" s="70"/>
      <c r="I7" s="70"/>
      <c r="J7" s="70"/>
      <c r="K7" s="70"/>
      <c r="L7" s="70"/>
      <c r="M7" s="70"/>
    </row>
    <row r="9" spans="1:13" ht="30.65" customHeight="1">
      <c r="A9" s="50" t="s">
        <v>321</v>
      </c>
      <c r="B9" s="50" t="s">
        <v>1106</v>
      </c>
      <c r="C9" s="50" t="s">
        <v>1107</v>
      </c>
      <c r="D9" s="50" t="s">
        <v>1108</v>
      </c>
      <c r="E9" s="50" t="s">
        <v>1109</v>
      </c>
      <c r="F9" s="50" t="s">
        <v>1110</v>
      </c>
      <c r="G9" s="50" t="s">
        <v>1111</v>
      </c>
      <c r="H9" s="50" t="s">
        <v>1112</v>
      </c>
      <c r="I9" s="50" t="s">
        <v>1113</v>
      </c>
      <c r="J9" s="50" t="s">
        <v>1114</v>
      </c>
      <c r="K9" s="50" t="s">
        <v>1115</v>
      </c>
      <c r="L9" s="50" t="s">
        <v>1116</v>
      </c>
      <c r="M9" s="50" t="s">
        <v>1117</v>
      </c>
    </row>
    <row r="10" spans="1:13" ht="62.65" customHeight="1">
      <c r="A10" s="41">
        <v>1</v>
      </c>
      <c r="B10" s="42" t="s">
        <v>457</v>
      </c>
      <c r="C10" s="42" t="s">
        <v>458</v>
      </c>
      <c r="D10" s="42" t="s">
        <v>459</v>
      </c>
      <c r="E10" s="42" t="s">
        <v>460</v>
      </c>
      <c r="F10" s="42" t="s">
        <v>1202</v>
      </c>
      <c r="G10" s="42" t="s">
        <v>1203</v>
      </c>
      <c r="H10" s="42" t="s">
        <v>1204</v>
      </c>
      <c r="I10" s="42" t="s">
        <v>1205</v>
      </c>
      <c r="J10" s="42" t="s">
        <v>463</v>
      </c>
      <c r="K10" s="42" t="s">
        <v>464</v>
      </c>
      <c r="L10" s="42" t="s">
        <v>1206</v>
      </c>
      <c r="M10" s="42" t="s">
        <v>465</v>
      </c>
    </row>
    <row r="11" spans="1:13" ht="62.65" customHeight="1">
      <c r="A11" s="41">
        <v>2</v>
      </c>
      <c r="B11" s="44" t="s">
        <v>466</v>
      </c>
      <c r="C11" s="44" t="s">
        <v>467</v>
      </c>
      <c r="D11" s="44" t="s">
        <v>468</v>
      </c>
      <c r="E11" s="44" t="s">
        <v>469</v>
      </c>
      <c r="F11" s="44" t="s">
        <v>1207</v>
      </c>
      <c r="G11" s="44" t="s">
        <v>1208</v>
      </c>
      <c r="H11" s="44" t="s">
        <v>1209</v>
      </c>
      <c r="I11" s="44" t="s">
        <v>1210</v>
      </c>
      <c r="J11" s="44" t="s">
        <v>472</v>
      </c>
      <c r="K11" s="44" t="s">
        <v>473</v>
      </c>
      <c r="L11" s="44" t="s">
        <v>1211</v>
      </c>
      <c r="M11" s="44" t="s">
        <v>465</v>
      </c>
    </row>
    <row r="12" spans="1:13" ht="62.65" customHeight="1">
      <c r="A12" s="41">
        <v>3</v>
      </c>
      <c r="B12" s="40" t="s">
        <v>474</v>
      </c>
      <c r="C12" s="40" t="s">
        <v>475</v>
      </c>
      <c r="D12" s="40" t="s">
        <v>476</v>
      </c>
      <c r="E12" s="40" t="s">
        <v>477</v>
      </c>
      <c r="F12" s="40" t="s">
        <v>1212</v>
      </c>
      <c r="G12" s="40" t="s">
        <v>1213</v>
      </c>
      <c r="H12" s="40" t="s">
        <v>1214</v>
      </c>
      <c r="I12" s="40" t="s">
        <v>1215</v>
      </c>
      <c r="J12" s="40" t="s">
        <v>480</v>
      </c>
      <c r="K12" s="40" t="s">
        <v>481</v>
      </c>
      <c r="L12" s="40" t="s">
        <v>1216</v>
      </c>
      <c r="M12" s="40" t="s">
        <v>465</v>
      </c>
    </row>
    <row r="13" spans="1:13" ht="62.65" customHeight="1">
      <c r="A13" s="41">
        <v>4</v>
      </c>
      <c r="B13" s="44" t="s">
        <v>482</v>
      </c>
      <c r="C13" s="44" t="s">
        <v>483</v>
      </c>
      <c r="D13" s="44" t="s">
        <v>484</v>
      </c>
      <c r="E13" s="44" t="s">
        <v>485</v>
      </c>
      <c r="F13" s="44" t="s">
        <v>1217</v>
      </c>
      <c r="G13" s="44" t="s">
        <v>1218</v>
      </c>
      <c r="H13" s="44" t="s">
        <v>1219</v>
      </c>
      <c r="I13" s="44" t="s">
        <v>1220</v>
      </c>
      <c r="J13" s="44" t="s">
        <v>488</v>
      </c>
      <c r="K13" s="44" t="s">
        <v>489</v>
      </c>
      <c r="L13" s="44" t="s">
        <v>1221</v>
      </c>
      <c r="M13" s="44" t="s">
        <v>465</v>
      </c>
    </row>
    <row r="14" spans="1:13" ht="62.65" customHeight="1">
      <c r="A14" s="41">
        <v>5</v>
      </c>
      <c r="B14" s="40" t="s">
        <v>490</v>
      </c>
      <c r="C14" s="40" t="s">
        <v>491</v>
      </c>
      <c r="D14" s="40" t="s">
        <v>492</v>
      </c>
      <c r="E14" s="40" t="s">
        <v>493</v>
      </c>
      <c r="F14" s="40" t="s">
        <v>1222</v>
      </c>
      <c r="G14" s="40" t="s">
        <v>1223</v>
      </c>
      <c r="H14" s="40" t="s">
        <v>1224</v>
      </c>
      <c r="I14" s="40" t="s">
        <v>1225</v>
      </c>
      <c r="J14" s="40" t="s">
        <v>496</v>
      </c>
      <c r="K14" s="40" t="s">
        <v>497</v>
      </c>
      <c r="L14" s="40" t="s">
        <v>1226</v>
      </c>
      <c r="M14" s="40" t="s">
        <v>465</v>
      </c>
    </row>
    <row r="15" spans="1:13" ht="62.65" customHeight="1">
      <c r="A15" s="41">
        <v>6</v>
      </c>
      <c r="B15" s="43" t="s">
        <v>498</v>
      </c>
      <c r="C15" s="43" t="s">
        <v>499</v>
      </c>
      <c r="D15" s="43" t="s">
        <v>500</v>
      </c>
      <c r="E15" s="43" t="s">
        <v>501</v>
      </c>
      <c r="F15" s="43" t="s">
        <v>1227</v>
      </c>
      <c r="G15" s="43" t="s">
        <v>1228</v>
      </c>
      <c r="H15" s="43" t="s">
        <v>1229</v>
      </c>
      <c r="I15" s="43" t="s">
        <v>1230</v>
      </c>
      <c r="J15" s="43" t="s">
        <v>504</v>
      </c>
      <c r="K15" s="43" t="s">
        <v>505</v>
      </c>
      <c r="L15" s="43" t="s">
        <v>1231</v>
      </c>
      <c r="M15" s="43" t="s">
        <v>465</v>
      </c>
    </row>
    <row r="16" spans="1:13" ht="62.65" customHeight="1">
      <c r="A16" s="41">
        <v>7</v>
      </c>
      <c r="B16" s="51" t="s">
        <v>506</v>
      </c>
      <c r="C16" s="51" t="s">
        <v>507</v>
      </c>
      <c r="D16" s="51" t="s">
        <v>508</v>
      </c>
      <c r="E16" s="51" t="s">
        <v>509</v>
      </c>
      <c r="F16" s="51" t="s">
        <v>1232</v>
      </c>
      <c r="G16" s="51" t="s">
        <v>1233</v>
      </c>
      <c r="H16" s="51" t="s">
        <v>1234</v>
      </c>
      <c r="I16" s="51" t="s">
        <v>1235</v>
      </c>
      <c r="J16" s="51" t="s">
        <v>512</v>
      </c>
      <c r="K16" s="51" t="s">
        <v>513</v>
      </c>
      <c r="L16" s="51" t="s">
        <v>1236</v>
      </c>
      <c r="M16" s="51" t="s">
        <v>514</v>
      </c>
    </row>
    <row r="17" spans="1:13" ht="62.65" customHeight="1">
      <c r="A17" s="41">
        <v>8</v>
      </c>
      <c r="B17" s="45" t="s">
        <v>515</v>
      </c>
      <c r="C17" s="45" t="s">
        <v>516</v>
      </c>
      <c r="D17" s="45" t="s">
        <v>517</v>
      </c>
      <c r="E17" s="45" t="s">
        <v>518</v>
      </c>
      <c r="F17" s="45" t="s">
        <v>1237</v>
      </c>
      <c r="G17" s="45" t="s">
        <v>1238</v>
      </c>
      <c r="H17" s="45" t="s">
        <v>1239</v>
      </c>
      <c r="I17" s="45" t="s">
        <v>1240</v>
      </c>
      <c r="J17" s="45" t="s">
        <v>521</v>
      </c>
      <c r="K17" s="45" t="s">
        <v>522</v>
      </c>
      <c r="L17" s="45" t="s">
        <v>1241</v>
      </c>
      <c r="M17" s="45" t="s">
        <v>514</v>
      </c>
    </row>
    <row r="18" spans="1:13" ht="62.65" customHeight="1">
      <c r="A18" s="41">
        <v>9</v>
      </c>
      <c r="B18" s="42" t="s">
        <v>457</v>
      </c>
      <c r="C18" s="42" t="s">
        <v>523</v>
      </c>
      <c r="D18" s="42" t="s">
        <v>524</v>
      </c>
      <c r="E18" s="42" t="s">
        <v>525</v>
      </c>
      <c r="F18" s="42" t="s">
        <v>1242</v>
      </c>
      <c r="G18" s="42" t="s">
        <v>1243</v>
      </c>
      <c r="H18" s="42" t="s">
        <v>1244</v>
      </c>
      <c r="I18" s="42" t="s">
        <v>1245</v>
      </c>
      <c r="J18" s="42" t="s">
        <v>528</v>
      </c>
      <c r="K18" s="42" t="s">
        <v>529</v>
      </c>
      <c r="L18" s="42" t="s">
        <v>1246</v>
      </c>
      <c r="M18" s="42" t="s">
        <v>514</v>
      </c>
    </row>
    <row r="19" spans="1:13" ht="62.65" customHeight="1">
      <c r="A19" s="41">
        <v>10</v>
      </c>
      <c r="B19" s="44" t="s">
        <v>530</v>
      </c>
      <c r="C19" s="44" t="s">
        <v>531</v>
      </c>
      <c r="D19" s="44" t="s">
        <v>532</v>
      </c>
      <c r="E19" s="44" t="s">
        <v>533</v>
      </c>
      <c r="F19" s="44" t="s">
        <v>1247</v>
      </c>
      <c r="G19" s="44" t="s">
        <v>1248</v>
      </c>
      <c r="H19" s="44" t="s">
        <v>1249</v>
      </c>
      <c r="I19" s="44" t="s">
        <v>1250</v>
      </c>
      <c r="J19" s="44" t="s">
        <v>536</v>
      </c>
      <c r="K19" s="44" t="s">
        <v>537</v>
      </c>
      <c r="L19" s="44" t="s">
        <v>1251</v>
      </c>
      <c r="M19" s="44" t="s">
        <v>465</v>
      </c>
    </row>
    <row r="20" spans="1:13" ht="62.65" customHeight="1">
      <c r="A20" s="41">
        <v>11</v>
      </c>
      <c r="B20" s="40" t="s">
        <v>538</v>
      </c>
      <c r="C20" s="40" t="s">
        <v>539</v>
      </c>
      <c r="D20" s="40" t="s">
        <v>540</v>
      </c>
      <c r="E20" s="40" t="s">
        <v>541</v>
      </c>
      <c r="F20" s="40" t="s">
        <v>1252</v>
      </c>
      <c r="G20" s="40" t="s">
        <v>1253</v>
      </c>
      <c r="H20" s="40" t="s">
        <v>1254</v>
      </c>
      <c r="I20" s="40" t="s">
        <v>1255</v>
      </c>
      <c r="J20" s="40" t="s">
        <v>544</v>
      </c>
      <c r="K20" s="40" t="s">
        <v>545</v>
      </c>
      <c r="L20" s="40" t="s">
        <v>1256</v>
      </c>
      <c r="M20" s="40" t="s">
        <v>514</v>
      </c>
    </row>
    <row r="21" spans="1:13" ht="62.65" customHeight="1">
      <c r="A21" s="41">
        <v>12</v>
      </c>
      <c r="B21" s="44" t="s">
        <v>546</v>
      </c>
      <c r="C21" s="44" t="s">
        <v>547</v>
      </c>
      <c r="D21" s="44" t="s">
        <v>548</v>
      </c>
      <c r="E21" s="44" t="s">
        <v>549</v>
      </c>
      <c r="F21" s="44" t="s">
        <v>1257</v>
      </c>
      <c r="G21" s="44" t="s">
        <v>1258</v>
      </c>
      <c r="H21" s="44" t="s">
        <v>1259</v>
      </c>
      <c r="I21" s="44" t="s">
        <v>1260</v>
      </c>
      <c r="J21" s="44" t="s">
        <v>552</v>
      </c>
      <c r="K21" s="44" t="s">
        <v>553</v>
      </c>
      <c r="L21" s="44" t="s">
        <v>1261</v>
      </c>
      <c r="M21" s="44" t="s">
        <v>514</v>
      </c>
    </row>
    <row r="22" spans="1:13" ht="62.65" customHeight="1">
      <c r="A22" s="47">
        <v>13</v>
      </c>
      <c r="B22" s="52" t="s">
        <v>554</v>
      </c>
      <c r="C22" s="52" t="s">
        <v>555</v>
      </c>
      <c r="D22" s="52" t="s">
        <v>556</v>
      </c>
      <c r="E22" s="52" t="s">
        <v>557</v>
      </c>
      <c r="F22" s="52" t="s">
        <v>1262</v>
      </c>
      <c r="G22" s="52" t="s">
        <v>1263</v>
      </c>
      <c r="H22" s="52" t="s">
        <v>1264</v>
      </c>
      <c r="I22" s="52" t="s">
        <v>1265</v>
      </c>
      <c r="J22" s="52" t="s">
        <v>560</v>
      </c>
      <c r="K22" s="52" t="s">
        <v>561</v>
      </c>
      <c r="L22" s="52" t="s">
        <v>1266</v>
      </c>
      <c r="M22" s="52" t="s">
        <v>562</v>
      </c>
    </row>
    <row r="23" spans="1:13" ht="62.65" customHeight="1">
      <c r="A23" s="47">
        <v>14</v>
      </c>
      <c r="B23" s="53" t="s">
        <v>563</v>
      </c>
      <c r="C23" s="53" t="s">
        <v>564</v>
      </c>
      <c r="D23" s="53" t="s">
        <v>565</v>
      </c>
      <c r="E23" s="53" t="s">
        <v>566</v>
      </c>
      <c r="F23" s="53" t="s">
        <v>1267</v>
      </c>
      <c r="G23" s="53" t="s">
        <v>1268</v>
      </c>
      <c r="H23" s="53" t="s">
        <v>1269</v>
      </c>
      <c r="I23" s="53" t="s">
        <v>1270</v>
      </c>
      <c r="J23" s="53" t="s">
        <v>569</v>
      </c>
      <c r="K23" s="53" t="s">
        <v>570</v>
      </c>
      <c r="L23" s="53" t="s">
        <v>1271</v>
      </c>
      <c r="M23" s="53" t="s">
        <v>465</v>
      </c>
    </row>
    <row r="24" spans="1:13" ht="62.65" customHeight="1">
      <c r="A24" s="47">
        <v>15</v>
      </c>
      <c r="B24" s="48" t="s">
        <v>441</v>
      </c>
      <c r="C24" s="48" t="s">
        <v>571</v>
      </c>
      <c r="D24" s="48" t="s">
        <v>572</v>
      </c>
      <c r="E24" s="48" t="s">
        <v>573</v>
      </c>
      <c r="F24" s="48" t="s">
        <v>1272</v>
      </c>
      <c r="G24" s="48" t="s">
        <v>1273</v>
      </c>
      <c r="H24" s="48" t="s">
        <v>1274</v>
      </c>
      <c r="I24" s="48" t="s">
        <v>1275</v>
      </c>
      <c r="J24" s="48" t="s">
        <v>576</v>
      </c>
      <c r="K24" s="48" t="s">
        <v>577</v>
      </c>
      <c r="L24" s="48" t="s">
        <v>1276</v>
      </c>
      <c r="M24" s="48" t="s">
        <v>465</v>
      </c>
    </row>
    <row r="25" spans="1:13" ht="62.65" customHeight="1">
      <c r="A25" s="47">
        <v>16</v>
      </c>
      <c r="B25" s="49" t="s">
        <v>578</v>
      </c>
      <c r="C25" s="49" t="s">
        <v>579</v>
      </c>
      <c r="D25" s="49" t="s">
        <v>580</v>
      </c>
      <c r="E25" s="49" t="s">
        <v>581</v>
      </c>
      <c r="F25" s="49" t="s">
        <v>1277</v>
      </c>
      <c r="G25" s="49" t="s">
        <v>1278</v>
      </c>
      <c r="H25" s="49" t="s">
        <v>1279</v>
      </c>
      <c r="I25" s="49" t="s">
        <v>1280</v>
      </c>
      <c r="J25" s="49" t="s">
        <v>584</v>
      </c>
      <c r="K25" s="49" t="s">
        <v>585</v>
      </c>
      <c r="L25" s="49" t="s">
        <v>1281</v>
      </c>
      <c r="M25" s="49" t="s">
        <v>465</v>
      </c>
    </row>
  </sheetData>
  <mergeCells count="7">
    <mergeCell ref="B6:M6"/>
    <mergeCell ref="B7:M7"/>
    <mergeCell ref="A1:M1"/>
    <mergeCell ref="A2:M2"/>
    <mergeCell ref="B3:M3"/>
    <mergeCell ref="B4:M4"/>
    <mergeCell ref="B5:M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5"/>
  <sheetViews>
    <sheetView topLeftCell="A14" workbookViewId="0">
      <selection sqref="A1:M1"/>
    </sheetView>
  </sheetViews>
  <sheetFormatPr defaultRowHeight="14"/>
  <cols>
    <col min="1" max="1" width="8" customWidth="1"/>
    <col min="2" max="2" width="16" customWidth="1"/>
    <col min="3" max="3" width="34" customWidth="1"/>
    <col min="4" max="5" width="39" customWidth="1"/>
    <col min="6" max="6" width="42" customWidth="1"/>
    <col min="7" max="7" width="51" customWidth="1"/>
    <col min="8" max="8" width="43" customWidth="1"/>
    <col min="9" max="9" width="33" customWidth="1"/>
    <col min="10" max="13" width="37" customWidth="1"/>
  </cols>
  <sheetData>
    <row r="1" spans="1:13" ht="18.649999999999999" customHeight="1">
      <c r="A1" s="60" t="s">
        <v>1282</v>
      </c>
      <c r="B1" s="60"/>
      <c r="C1" s="60"/>
      <c r="D1" s="60"/>
      <c r="E1" s="60"/>
      <c r="F1" s="60"/>
      <c r="G1" s="60"/>
      <c r="H1" s="60"/>
      <c r="I1" s="60"/>
      <c r="J1" s="60"/>
      <c r="K1" s="60"/>
      <c r="L1" s="60"/>
      <c r="M1" s="60"/>
    </row>
    <row r="2" spans="1:13" ht="17.399999999999999" customHeight="1">
      <c r="A2" s="61" t="s">
        <v>1283</v>
      </c>
      <c r="B2" s="61"/>
      <c r="C2" s="61"/>
      <c r="D2" s="61"/>
      <c r="E2" s="61"/>
      <c r="F2" s="61"/>
      <c r="G2" s="61"/>
      <c r="H2" s="61"/>
      <c r="I2" s="61"/>
      <c r="J2" s="61"/>
      <c r="K2" s="61"/>
      <c r="L2" s="61"/>
      <c r="M2" s="61"/>
    </row>
    <row r="3" spans="1:13" ht="18.649999999999999" customHeight="1">
      <c r="A3" s="9" t="s">
        <v>1100</v>
      </c>
      <c r="B3" s="69" t="s">
        <v>1284</v>
      </c>
      <c r="C3" s="69"/>
      <c r="D3" s="69"/>
      <c r="E3" s="69"/>
      <c r="F3" s="69"/>
      <c r="G3" s="69"/>
      <c r="H3" s="69"/>
      <c r="I3" s="69"/>
      <c r="J3" s="69"/>
      <c r="K3" s="69"/>
      <c r="L3" s="69"/>
      <c r="M3" s="69"/>
    </row>
    <row r="4" spans="1:13" ht="18.649999999999999" customHeight="1">
      <c r="A4" s="9" t="s">
        <v>17</v>
      </c>
      <c r="B4" s="69" t="s">
        <v>41</v>
      </c>
      <c r="C4" s="69"/>
      <c r="D4" s="69"/>
      <c r="E4" s="69"/>
      <c r="F4" s="69"/>
      <c r="G4" s="69"/>
      <c r="H4" s="69"/>
      <c r="I4" s="69"/>
      <c r="J4" s="69"/>
      <c r="K4" s="69"/>
      <c r="L4" s="69"/>
      <c r="M4" s="69"/>
    </row>
    <row r="5" spans="1:13" ht="18.649999999999999" customHeight="1">
      <c r="A5" s="9" t="s">
        <v>18</v>
      </c>
      <c r="B5" s="69" t="s">
        <v>42</v>
      </c>
      <c r="C5" s="69"/>
      <c r="D5" s="69"/>
      <c r="E5" s="69"/>
      <c r="F5" s="69"/>
      <c r="G5" s="69"/>
      <c r="H5" s="69"/>
      <c r="I5" s="69"/>
      <c r="J5" s="69"/>
      <c r="K5" s="69"/>
      <c r="L5" s="69"/>
      <c r="M5" s="69"/>
    </row>
    <row r="6" spans="1:13" ht="18.649999999999999" customHeight="1">
      <c r="A6" s="9" t="s">
        <v>1102</v>
      </c>
      <c r="B6" s="69" t="s">
        <v>1285</v>
      </c>
      <c r="C6" s="69"/>
      <c r="D6" s="69"/>
      <c r="E6" s="69"/>
      <c r="F6" s="69"/>
      <c r="G6" s="69"/>
      <c r="H6" s="69"/>
      <c r="I6" s="69"/>
      <c r="J6" s="69"/>
      <c r="K6" s="69"/>
      <c r="L6" s="69"/>
      <c r="M6" s="69"/>
    </row>
    <row r="7" spans="1:13" ht="18.649999999999999" customHeight="1">
      <c r="A7" s="9" t="s">
        <v>1104</v>
      </c>
      <c r="B7" s="70" t="s">
        <v>1105</v>
      </c>
      <c r="C7" s="70"/>
      <c r="D7" s="70"/>
      <c r="E7" s="70"/>
      <c r="F7" s="70"/>
      <c r="G7" s="70"/>
      <c r="H7" s="70"/>
      <c r="I7" s="70"/>
      <c r="J7" s="70"/>
      <c r="K7" s="70"/>
      <c r="L7" s="70"/>
      <c r="M7" s="70"/>
    </row>
    <row r="9" spans="1:13" ht="30.65" customHeight="1">
      <c r="A9" s="50" t="s">
        <v>321</v>
      </c>
      <c r="B9" s="50" t="s">
        <v>1106</v>
      </c>
      <c r="C9" s="50" t="s">
        <v>1107</v>
      </c>
      <c r="D9" s="50" t="s">
        <v>1108</v>
      </c>
      <c r="E9" s="50" t="s">
        <v>1109</v>
      </c>
      <c r="F9" s="50" t="s">
        <v>1110</v>
      </c>
      <c r="G9" s="50" t="s">
        <v>1111</v>
      </c>
      <c r="H9" s="50" t="s">
        <v>1112</v>
      </c>
      <c r="I9" s="50" t="s">
        <v>1113</v>
      </c>
      <c r="J9" s="50" t="s">
        <v>1114</v>
      </c>
      <c r="K9" s="50" t="s">
        <v>1115</v>
      </c>
      <c r="L9" s="50" t="s">
        <v>1116</v>
      </c>
      <c r="M9" s="50" t="s">
        <v>1117</v>
      </c>
    </row>
    <row r="10" spans="1:13" ht="62.65" customHeight="1">
      <c r="A10" s="41">
        <v>1</v>
      </c>
      <c r="B10" s="42" t="s">
        <v>586</v>
      </c>
      <c r="C10" s="42" t="s">
        <v>587</v>
      </c>
      <c r="D10" s="42" t="s">
        <v>588</v>
      </c>
      <c r="E10" s="42" t="s">
        <v>589</v>
      </c>
      <c r="F10" s="42" t="s">
        <v>1286</v>
      </c>
      <c r="G10" s="42" t="s">
        <v>1287</v>
      </c>
      <c r="H10" s="42" t="s">
        <v>1288</v>
      </c>
      <c r="I10" s="42" t="s">
        <v>1289</v>
      </c>
      <c r="J10" s="42" t="s">
        <v>592</v>
      </c>
      <c r="K10" s="42" t="s">
        <v>593</v>
      </c>
      <c r="L10" s="42" t="s">
        <v>1290</v>
      </c>
      <c r="M10" s="42" t="s">
        <v>594</v>
      </c>
    </row>
    <row r="11" spans="1:13" ht="62.65" customHeight="1">
      <c r="A11" s="41">
        <v>2</v>
      </c>
      <c r="B11" s="51" t="s">
        <v>426</v>
      </c>
      <c r="C11" s="51" t="s">
        <v>595</v>
      </c>
      <c r="D11" s="51" t="s">
        <v>596</v>
      </c>
      <c r="E11" s="51" t="s">
        <v>597</v>
      </c>
      <c r="F11" s="51" t="s">
        <v>1291</v>
      </c>
      <c r="G11" s="51" t="s">
        <v>1292</v>
      </c>
      <c r="H11" s="51" t="s">
        <v>1293</v>
      </c>
      <c r="I11" s="51" t="s">
        <v>1294</v>
      </c>
      <c r="J11" s="51" t="s">
        <v>600</v>
      </c>
      <c r="K11" s="51" t="s">
        <v>601</v>
      </c>
      <c r="L11" s="51" t="s">
        <v>1295</v>
      </c>
      <c r="M11" s="51" t="s">
        <v>594</v>
      </c>
    </row>
    <row r="12" spans="1:13" ht="62.65" customHeight="1">
      <c r="A12" s="41">
        <v>3</v>
      </c>
      <c r="B12" s="40" t="s">
        <v>602</v>
      </c>
      <c r="C12" s="40" t="s">
        <v>603</v>
      </c>
      <c r="D12" s="40" t="s">
        <v>604</v>
      </c>
      <c r="E12" s="40" t="s">
        <v>605</v>
      </c>
      <c r="F12" s="40" t="s">
        <v>1296</v>
      </c>
      <c r="G12" s="40" t="s">
        <v>1297</v>
      </c>
      <c r="H12" s="40" t="s">
        <v>1298</v>
      </c>
      <c r="I12" s="40" t="s">
        <v>1299</v>
      </c>
      <c r="J12" s="40" t="s">
        <v>608</v>
      </c>
      <c r="K12" s="40" t="s">
        <v>609</v>
      </c>
      <c r="L12" s="40" t="s">
        <v>1300</v>
      </c>
      <c r="M12" s="40" t="s">
        <v>594</v>
      </c>
    </row>
    <row r="13" spans="1:13" ht="62.65" customHeight="1">
      <c r="A13" s="41">
        <v>4</v>
      </c>
      <c r="B13" s="44" t="s">
        <v>610</v>
      </c>
      <c r="C13" s="44" t="s">
        <v>611</v>
      </c>
      <c r="D13" s="44" t="s">
        <v>612</v>
      </c>
      <c r="E13" s="44" t="s">
        <v>613</v>
      </c>
      <c r="F13" s="44" t="s">
        <v>1301</v>
      </c>
      <c r="G13" s="44" t="s">
        <v>1302</v>
      </c>
      <c r="H13" s="44" t="s">
        <v>1303</v>
      </c>
      <c r="I13" s="44" t="s">
        <v>1304</v>
      </c>
      <c r="J13" s="44" t="s">
        <v>616</v>
      </c>
      <c r="K13" s="44" t="s">
        <v>617</v>
      </c>
      <c r="L13" s="44" t="s">
        <v>1305</v>
      </c>
      <c r="M13" s="44" t="s">
        <v>594</v>
      </c>
    </row>
    <row r="14" spans="1:13" ht="62.65" customHeight="1">
      <c r="A14" s="41">
        <v>5</v>
      </c>
      <c r="B14" s="45" t="s">
        <v>387</v>
      </c>
      <c r="C14" s="45" t="s">
        <v>618</v>
      </c>
      <c r="D14" s="45" t="s">
        <v>619</v>
      </c>
      <c r="E14" s="45" t="s">
        <v>620</v>
      </c>
      <c r="F14" s="45" t="s">
        <v>1306</v>
      </c>
      <c r="G14" s="45" t="s">
        <v>1307</v>
      </c>
      <c r="H14" s="45" t="s">
        <v>1308</v>
      </c>
      <c r="I14" s="45" t="s">
        <v>1309</v>
      </c>
      <c r="J14" s="45" t="s">
        <v>623</v>
      </c>
      <c r="K14" s="45" t="s">
        <v>624</v>
      </c>
      <c r="L14" s="45" t="s">
        <v>1310</v>
      </c>
      <c r="M14" s="45" t="s">
        <v>594</v>
      </c>
    </row>
    <row r="15" spans="1:13" ht="62.65" customHeight="1">
      <c r="A15" s="41">
        <v>6</v>
      </c>
      <c r="B15" s="42" t="s">
        <v>625</v>
      </c>
      <c r="C15" s="42" t="s">
        <v>626</v>
      </c>
      <c r="D15" s="42" t="s">
        <v>627</v>
      </c>
      <c r="E15" s="42" t="s">
        <v>628</v>
      </c>
      <c r="F15" s="42" t="s">
        <v>1311</v>
      </c>
      <c r="G15" s="42" t="s">
        <v>1312</v>
      </c>
      <c r="H15" s="42" t="s">
        <v>1313</v>
      </c>
      <c r="I15" s="42" t="s">
        <v>1314</v>
      </c>
      <c r="J15" s="42" t="s">
        <v>631</v>
      </c>
      <c r="K15" s="42" t="s">
        <v>632</v>
      </c>
      <c r="L15" s="42" t="s">
        <v>1315</v>
      </c>
      <c r="M15" s="42" t="s">
        <v>594</v>
      </c>
    </row>
    <row r="16" spans="1:13" ht="62.65" customHeight="1">
      <c r="A16" s="41">
        <v>7</v>
      </c>
      <c r="B16" s="51" t="s">
        <v>426</v>
      </c>
      <c r="C16" s="51" t="s">
        <v>633</v>
      </c>
      <c r="D16" s="51" t="s">
        <v>634</v>
      </c>
      <c r="E16" s="51" t="s">
        <v>635</v>
      </c>
      <c r="F16" s="51" t="s">
        <v>1316</v>
      </c>
      <c r="G16" s="51" t="s">
        <v>1317</v>
      </c>
      <c r="H16" s="51" t="s">
        <v>1318</v>
      </c>
      <c r="I16" s="51" t="s">
        <v>1319</v>
      </c>
      <c r="J16" s="51" t="s">
        <v>638</v>
      </c>
      <c r="K16" s="51" t="s">
        <v>639</v>
      </c>
      <c r="L16" s="51" t="s">
        <v>1320</v>
      </c>
      <c r="M16" s="51" t="s">
        <v>594</v>
      </c>
    </row>
    <row r="17" spans="1:13" ht="62.65" customHeight="1">
      <c r="A17" s="41">
        <v>8</v>
      </c>
      <c r="B17" s="44" t="s">
        <v>640</v>
      </c>
      <c r="C17" s="44" t="s">
        <v>641</v>
      </c>
      <c r="D17" s="44" t="s">
        <v>642</v>
      </c>
      <c r="E17" s="44" t="s">
        <v>643</v>
      </c>
      <c r="F17" s="44" t="s">
        <v>1321</v>
      </c>
      <c r="G17" s="44" t="s">
        <v>1322</v>
      </c>
      <c r="H17" s="44" t="s">
        <v>1323</v>
      </c>
      <c r="I17" s="44" t="s">
        <v>1324</v>
      </c>
      <c r="J17" s="44" t="s">
        <v>646</v>
      </c>
      <c r="K17" s="44" t="s">
        <v>647</v>
      </c>
      <c r="L17" s="44" t="s">
        <v>1325</v>
      </c>
      <c r="M17" s="44" t="s">
        <v>594</v>
      </c>
    </row>
    <row r="18" spans="1:13" ht="62.65" customHeight="1">
      <c r="A18" s="41">
        <v>9</v>
      </c>
      <c r="B18" s="40" t="s">
        <v>648</v>
      </c>
      <c r="C18" s="40" t="s">
        <v>649</v>
      </c>
      <c r="D18" s="40" t="s">
        <v>650</v>
      </c>
      <c r="E18" s="40" t="s">
        <v>651</v>
      </c>
      <c r="F18" s="40" t="s">
        <v>1326</v>
      </c>
      <c r="G18" s="40" t="s">
        <v>1327</v>
      </c>
      <c r="H18" s="40" t="s">
        <v>1328</v>
      </c>
      <c r="I18" s="40" t="s">
        <v>1329</v>
      </c>
      <c r="J18" s="40" t="s">
        <v>654</v>
      </c>
      <c r="K18" s="40" t="s">
        <v>655</v>
      </c>
      <c r="L18" s="40" t="s">
        <v>1330</v>
      </c>
      <c r="M18" s="40" t="s">
        <v>594</v>
      </c>
    </row>
    <row r="19" spans="1:13" ht="62.65" customHeight="1">
      <c r="A19" s="41">
        <v>10</v>
      </c>
      <c r="B19" s="44" t="s">
        <v>656</v>
      </c>
      <c r="C19" s="44" t="s">
        <v>657</v>
      </c>
      <c r="D19" s="44" t="s">
        <v>658</v>
      </c>
      <c r="E19" s="44" t="s">
        <v>659</v>
      </c>
      <c r="F19" s="44" t="s">
        <v>1331</v>
      </c>
      <c r="G19" s="44" t="s">
        <v>1332</v>
      </c>
      <c r="H19" s="44" t="s">
        <v>1333</v>
      </c>
      <c r="I19" s="44" t="s">
        <v>1334</v>
      </c>
      <c r="J19" s="44" t="s">
        <v>662</v>
      </c>
      <c r="K19" s="44" t="s">
        <v>663</v>
      </c>
      <c r="L19" s="44" t="s">
        <v>1335</v>
      </c>
      <c r="M19" s="44" t="s">
        <v>594</v>
      </c>
    </row>
    <row r="20" spans="1:13" ht="62.65" customHeight="1">
      <c r="A20" s="41">
        <v>11</v>
      </c>
      <c r="B20" s="51" t="s">
        <v>664</v>
      </c>
      <c r="C20" s="51" t="s">
        <v>665</v>
      </c>
      <c r="D20" s="51" t="s">
        <v>666</v>
      </c>
      <c r="E20" s="51" t="s">
        <v>667</v>
      </c>
      <c r="F20" s="51" t="s">
        <v>1336</v>
      </c>
      <c r="G20" s="51" t="s">
        <v>1337</v>
      </c>
      <c r="H20" s="51" t="s">
        <v>1338</v>
      </c>
      <c r="I20" s="51" t="s">
        <v>1339</v>
      </c>
      <c r="J20" s="51" t="s">
        <v>670</v>
      </c>
      <c r="K20" s="51" t="s">
        <v>671</v>
      </c>
      <c r="L20" s="51" t="s">
        <v>1340</v>
      </c>
      <c r="M20" s="51" t="s">
        <v>594</v>
      </c>
    </row>
    <row r="21" spans="1:13" ht="62.65" customHeight="1">
      <c r="A21" s="41">
        <v>12</v>
      </c>
      <c r="B21" s="44" t="s">
        <v>672</v>
      </c>
      <c r="C21" s="44" t="s">
        <v>673</v>
      </c>
      <c r="D21" s="44" t="s">
        <v>674</v>
      </c>
      <c r="E21" s="44" t="s">
        <v>675</v>
      </c>
      <c r="F21" s="44" t="s">
        <v>1341</v>
      </c>
      <c r="G21" s="44" t="s">
        <v>1342</v>
      </c>
      <c r="H21" s="44" t="s">
        <v>1343</v>
      </c>
      <c r="I21" s="44" t="s">
        <v>1344</v>
      </c>
      <c r="J21" s="44" t="s">
        <v>678</v>
      </c>
      <c r="K21" s="44" t="s">
        <v>679</v>
      </c>
      <c r="L21" s="44" t="s">
        <v>1345</v>
      </c>
      <c r="M21" s="44" t="s">
        <v>680</v>
      </c>
    </row>
    <row r="22" spans="1:13" ht="62.65" customHeight="1">
      <c r="A22" s="47">
        <v>13</v>
      </c>
      <c r="B22" s="53" t="s">
        <v>681</v>
      </c>
      <c r="C22" s="53" t="s">
        <v>682</v>
      </c>
      <c r="D22" s="53" t="s">
        <v>683</v>
      </c>
      <c r="E22" s="53" t="s">
        <v>684</v>
      </c>
      <c r="F22" s="53" t="s">
        <v>1346</v>
      </c>
      <c r="G22" s="53" t="s">
        <v>1347</v>
      </c>
      <c r="H22" s="53" t="s">
        <v>1348</v>
      </c>
      <c r="I22" s="53" t="s">
        <v>1349</v>
      </c>
      <c r="J22" s="53" t="s">
        <v>687</v>
      </c>
      <c r="K22" s="53" t="s">
        <v>688</v>
      </c>
      <c r="L22" s="53" t="s">
        <v>1350</v>
      </c>
      <c r="M22" s="53" t="s">
        <v>594</v>
      </c>
    </row>
    <row r="23" spans="1:13" ht="62.65" customHeight="1">
      <c r="A23" s="47">
        <v>14</v>
      </c>
      <c r="B23" s="48" t="s">
        <v>689</v>
      </c>
      <c r="C23" s="48" t="s">
        <v>690</v>
      </c>
      <c r="D23" s="48" t="s">
        <v>691</v>
      </c>
      <c r="E23" s="48" t="s">
        <v>692</v>
      </c>
      <c r="F23" s="48" t="s">
        <v>1351</v>
      </c>
      <c r="G23" s="48" t="s">
        <v>1352</v>
      </c>
      <c r="H23" s="48" t="s">
        <v>1353</v>
      </c>
      <c r="I23" s="48" t="s">
        <v>1354</v>
      </c>
      <c r="J23" s="48" t="s">
        <v>695</v>
      </c>
      <c r="K23" s="48" t="s">
        <v>696</v>
      </c>
      <c r="L23" s="48" t="s">
        <v>1355</v>
      </c>
      <c r="M23" s="48" t="s">
        <v>594</v>
      </c>
    </row>
    <row r="24" spans="1:13" ht="62.65" customHeight="1">
      <c r="A24" s="47">
        <v>15</v>
      </c>
      <c r="B24" s="48" t="s">
        <v>697</v>
      </c>
      <c r="C24" s="48" t="s">
        <v>698</v>
      </c>
      <c r="D24" s="48" t="s">
        <v>699</v>
      </c>
      <c r="E24" s="48" t="s">
        <v>700</v>
      </c>
      <c r="F24" s="48" t="s">
        <v>1356</v>
      </c>
      <c r="G24" s="48" t="s">
        <v>1357</v>
      </c>
      <c r="H24" s="48" t="s">
        <v>1358</v>
      </c>
      <c r="I24" s="48" t="s">
        <v>1359</v>
      </c>
      <c r="J24" s="48" t="s">
        <v>703</v>
      </c>
      <c r="K24" s="48" t="s">
        <v>704</v>
      </c>
      <c r="L24" s="48" t="s">
        <v>1360</v>
      </c>
      <c r="M24" s="48" t="s">
        <v>594</v>
      </c>
    </row>
    <row r="25" spans="1:13" ht="62.65" customHeight="1">
      <c r="A25" s="47">
        <v>16</v>
      </c>
      <c r="B25" s="54" t="s">
        <v>705</v>
      </c>
      <c r="C25" s="54" t="s">
        <v>706</v>
      </c>
      <c r="D25" s="54" t="s">
        <v>707</v>
      </c>
      <c r="E25" s="54" t="s">
        <v>708</v>
      </c>
      <c r="F25" s="54" t="s">
        <v>1361</v>
      </c>
      <c r="G25" s="54" t="s">
        <v>1362</v>
      </c>
      <c r="H25" s="54" t="s">
        <v>1363</v>
      </c>
      <c r="I25" s="54" t="s">
        <v>1364</v>
      </c>
      <c r="J25" s="54" t="s">
        <v>711</v>
      </c>
      <c r="K25" s="54" t="s">
        <v>712</v>
      </c>
      <c r="L25" s="54" t="s">
        <v>1365</v>
      </c>
      <c r="M25" s="54" t="s">
        <v>594</v>
      </c>
    </row>
  </sheetData>
  <mergeCells count="7">
    <mergeCell ref="B6:M6"/>
    <mergeCell ref="B7:M7"/>
    <mergeCell ref="A1:M1"/>
    <mergeCell ref="A2:M2"/>
    <mergeCell ref="B3:M3"/>
    <mergeCell ref="B4:M4"/>
    <mergeCell ref="B5:M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25"/>
  <sheetViews>
    <sheetView workbookViewId="0">
      <selection sqref="A1:M1"/>
    </sheetView>
  </sheetViews>
  <sheetFormatPr defaultRowHeight="14"/>
  <cols>
    <col min="1" max="1" width="8" customWidth="1"/>
    <col min="2" max="2" width="16" customWidth="1"/>
    <col min="3" max="3" width="34" customWidth="1"/>
    <col min="4" max="5" width="39" customWidth="1"/>
    <col min="6" max="6" width="42" customWidth="1"/>
    <col min="7" max="7" width="51" customWidth="1"/>
    <col min="8" max="8" width="43" customWidth="1"/>
    <col min="9" max="9" width="33" customWidth="1"/>
    <col min="10" max="13" width="37" customWidth="1"/>
  </cols>
  <sheetData>
    <row r="1" spans="1:13" ht="18.649999999999999" customHeight="1">
      <c r="A1" s="60" t="s">
        <v>1366</v>
      </c>
      <c r="B1" s="60"/>
      <c r="C1" s="60"/>
      <c r="D1" s="60"/>
      <c r="E1" s="60"/>
      <c r="F1" s="60"/>
      <c r="G1" s="60"/>
      <c r="H1" s="60"/>
      <c r="I1" s="60"/>
      <c r="J1" s="60"/>
      <c r="K1" s="60"/>
      <c r="L1" s="60"/>
      <c r="M1" s="60"/>
    </row>
    <row r="2" spans="1:13" ht="17.399999999999999" customHeight="1">
      <c r="A2" s="61" t="s">
        <v>1283</v>
      </c>
      <c r="B2" s="61"/>
      <c r="C2" s="61"/>
      <c r="D2" s="61"/>
      <c r="E2" s="61"/>
      <c r="F2" s="61"/>
      <c r="G2" s="61"/>
      <c r="H2" s="61"/>
      <c r="I2" s="61"/>
      <c r="J2" s="61"/>
      <c r="K2" s="61"/>
      <c r="L2" s="61"/>
      <c r="M2" s="61"/>
    </row>
    <row r="3" spans="1:13" ht="18.649999999999999" customHeight="1">
      <c r="A3" s="9" t="s">
        <v>1100</v>
      </c>
      <c r="B3" s="69" t="s">
        <v>1367</v>
      </c>
      <c r="C3" s="69"/>
      <c r="D3" s="69"/>
      <c r="E3" s="69"/>
      <c r="F3" s="69"/>
      <c r="G3" s="69"/>
      <c r="H3" s="69"/>
      <c r="I3" s="69"/>
      <c r="J3" s="69"/>
      <c r="K3" s="69"/>
      <c r="L3" s="69"/>
      <c r="M3" s="69"/>
    </row>
    <row r="4" spans="1:13" ht="18.649999999999999" customHeight="1">
      <c r="A4" s="9" t="s">
        <v>17</v>
      </c>
      <c r="B4" s="69" t="s">
        <v>48</v>
      </c>
      <c r="C4" s="69"/>
      <c r="D4" s="69"/>
      <c r="E4" s="69"/>
      <c r="F4" s="69"/>
      <c r="G4" s="69"/>
      <c r="H4" s="69"/>
      <c r="I4" s="69"/>
      <c r="J4" s="69"/>
      <c r="K4" s="69"/>
      <c r="L4" s="69"/>
      <c r="M4" s="69"/>
    </row>
    <row r="5" spans="1:13" ht="18.649999999999999" customHeight="1">
      <c r="A5" s="9" t="s">
        <v>18</v>
      </c>
      <c r="B5" s="69" t="s">
        <v>49</v>
      </c>
      <c r="C5" s="69"/>
      <c r="D5" s="69"/>
      <c r="E5" s="69"/>
      <c r="F5" s="69"/>
      <c r="G5" s="69"/>
      <c r="H5" s="69"/>
      <c r="I5" s="69"/>
      <c r="J5" s="69"/>
      <c r="K5" s="69"/>
      <c r="L5" s="69"/>
      <c r="M5" s="69"/>
    </row>
    <row r="6" spans="1:13" ht="18.649999999999999" customHeight="1">
      <c r="A6" s="9" t="s">
        <v>1102</v>
      </c>
      <c r="B6" s="69" t="s">
        <v>1368</v>
      </c>
      <c r="C6" s="69"/>
      <c r="D6" s="69"/>
      <c r="E6" s="69"/>
      <c r="F6" s="69"/>
      <c r="G6" s="69"/>
      <c r="H6" s="69"/>
      <c r="I6" s="69"/>
      <c r="J6" s="69"/>
      <c r="K6" s="69"/>
      <c r="L6" s="69"/>
      <c r="M6" s="69"/>
    </row>
    <row r="7" spans="1:13" ht="18.649999999999999" customHeight="1">
      <c r="A7" s="9" t="s">
        <v>1104</v>
      </c>
      <c r="B7" s="70" t="s">
        <v>1105</v>
      </c>
      <c r="C7" s="70"/>
      <c r="D7" s="70"/>
      <c r="E7" s="70"/>
      <c r="F7" s="70"/>
      <c r="G7" s="70"/>
      <c r="H7" s="70"/>
      <c r="I7" s="70"/>
      <c r="J7" s="70"/>
      <c r="K7" s="70"/>
      <c r="L7" s="70"/>
      <c r="M7" s="70"/>
    </row>
    <row r="9" spans="1:13" ht="30.65" customHeight="1">
      <c r="A9" s="50" t="s">
        <v>321</v>
      </c>
      <c r="B9" s="50" t="s">
        <v>1106</v>
      </c>
      <c r="C9" s="50" t="s">
        <v>1107</v>
      </c>
      <c r="D9" s="50" t="s">
        <v>1108</v>
      </c>
      <c r="E9" s="50" t="s">
        <v>1109</v>
      </c>
      <c r="F9" s="50" t="s">
        <v>1110</v>
      </c>
      <c r="G9" s="50" t="s">
        <v>1111</v>
      </c>
      <c r="H9" s="50" t="s">
        <v>1112</v>
      </c>
      <c r="I9" s="50" t="s">
        <v>1113</v>
      </c>
      <c r="J9" s="50" t="s">
        <v>1114</v>
      </c>
      <c r="K9" s="50" t="s">
        <v>1115</v>
      </c>
      <c r="L9" s="50" t="s">
        <v>1116</v>
      </c>
      <c r="M9" s="50" t="s">
        <v>1117</v>
      </c>
    </row>
    <row r="10" spans="1:13" ht="62.65" customHeight="1">
      <c r="A10" s="41">
        <v>1</v>
      </c>
      <c r="B10" s="40" t="s">
        <v>713</v>
      </c>
      <c r="C10" s="40" t="s">
        <v>714</v>
      </c>
      <c r="D10" s="40" t="s">
        <v>715</v>
      </c>
      <c r="E10" s="40" t="s">
        <v>716</v>
      </c>
      <c r="F10" s="40" t="s">
        <v>1369</v>
      </c>
      <c r="G10" s="40" t="s">
        <v>1370</v>
      </c>
      <c r="H10" s="40" t="s">
        <v>1371</v>
      </c>
      <c r="I10" s="40" t="s">
        <v>1372</v>
      </c>
      <c r="J10" s="40" t="s">
        <v>719</v>
      </c>
      <c r="K10" s="40" t="s">
        <v>720</v>
      </c>
      <c r="L10" s="40" t="s">
        <v>1373</v>
      </c>
      <c r="M10" s="40" t="s">
        <v>721</v>
      </c>
    </row>
    <row r="11" spans="1:13" ht="62.65" customHeight="1">
      <c r="A11" s="41">
        <v>2</v>
      </c>
      <c r="B11" s="44" t="s">
        <v>722</v>
      </c>
      <c r="C11" s="44" t="s">
        <v>723</v>
      </c>
      <c r="D11" s="44" t="s">
        <v>724</v>
      </c>
      <c r="E11" s="44" t="s">
        <v>725</v>
      </c>
      <c r="F11" s="44" t="s">
        <v>1374</v>
      </c>
      <c r="G11" s="44" t="s">
        <v>1375</v>
      </c>
      <c r="H11" s="44" t="s">
        <v>1376</v>
      </c>
      <c r="I11" s="44" t="s">
        <v>1377</v>
      </c>
      <c r="J11" s="44" t="s">
        <v>728</v>
      </c>
      <c r="K11" s="44" t="s">
        <v>729</v>
      </c>
      <c r="L11" s="44" t="s">
        <v>1378</v>
      </c>
      <c r="M11" s="44" t="s">
        <v>721</v>
      </c>
    </row>
    <row r="12" spans="1:13" ht="62.65" customHeight="1">
      <c r="A12" s="41">
        <v>3</v>
      </c>
      <c r="B12" s="51" t="s">
        <v>426</v>
      </c>
      <c r="C12" s="51" t="s">
        <v>730</v>
      </c>
      <c r="D12" s="51" t="s">
        <v>731</v>
      </c>
      <c r="E12" s="51" t="s">
        <v>732</v>
      </c>
      <c r="F12" s="51" t="s">
        <v>1379</v>
      </c>
      <c r="G12" s="51" t="s">
        <v>1380</v>
      </c>
      <c r="H12" s="51" t="s">
        <v>1381</v>
      </c>
      <c r="I12" s="51" t="s">
        <v>1382</v>
      </c>
      <c r="J12" s="51" t="s">
        <v>735</v>
      </c>
      <c r="K12" s="51" t="s">
        <v>736</v>
      </c>
      <c r="L12" s="51" t="s">
        <v>1383</v>
      </c>
      <c r="M12" s="51" t="s">
        <v>721</v>
      </c>
    </row>
    <row r="13" spans="1:13" ht="62.65" customHeight="1">
      <c r="A13" s="41">
        <v>4</v>
      </c>
      <c r="B13" s="44" t="s">
        <v>737</v>
      </c>
      <c r="C13" s="44" t="s">
        <v>738</v>
      </c>
      <c r="D13" s="44" t="s">
        <v>739</v>
      </c>
      <c r="E13" s="44" t="s">
        <v>740</v>
      </c>
      <c r="F13" s="44" t="s">
        <v>1384</v>
      </c>
      <c r="G13" s="44" t="s">
        <v>1385</v>
      </c>
      <c r="H13" s="44" t="s">
        <v>1386</v>
      </c>
      <c r="I13" s="44" t="s">
        <v>1387</v>
      </c>
      <c r="J13" s="44" t="s">
        <v>743</v>
      </c>
      <c r="K13" s="44" t="s">
        <v>744</v>
      </c>
      <c r="L13" s="44" t="s">
        <v>1388</v>
      </c>
      <c r="M13" s="44" t="s">
        <v>721</v>
      </c>
    </row>
    <row r="14" spans="1:13" ht="62.65" customHeight="1">
      <c r="A14" s="41">
        <v>5</v>
      </c>
      <c r="B14" s="40" t="s">
        <v>745</v>
      </c>
      <c r="C14" s="40" t="s">
        <v>746</v>
      </c>
      <c r="D14" s="40" t="s">
        <v>747</v>
      </c>
      <c r="E14" s="40" t="s">
        <v>748</v>
      </c>
      <c r="F14" s="40" t="s">
        <v>1389</v>
      </c>
      <c r="G14" s="40" t="s">
        <v>1390</v>
      </c>
      <c r="H14" s="40" t="s">
        <v>1391</v>
      </c>
      <c r="I14" s="40" t="s">
        <v>1392</v>
      </c>
      <c r="J14" s="40" t="s">
        <v>751</v>
      </c>
      <c r="K14" s="40" t="s">
        <v>752</v>
      </c>
      <c r="L14" s="40" t="s">
        <v>1393</v>
      </c>
      <c r="M14" s="40" t="s">
        <v>721</v>
      </c>
    </row>
    <row r="15" spans="1:13" ht="62.65" customHeight="1">
      <c r="A15" s="41">
        <v>6</v>
      </c>
      <c r="B15" s="44" t="s">
        <v>753</v>
      </c>
      <c r="C15" s="44" t="s">
        <v>754</v>
      </c>
      <c r="D15" s="44" t="s">
        <v>755</v>
      </c>
      <c r="E15" s="44" t="s">
        <v>756</v>
      </c>
      <c r="F15" s="44" t="s">
        <v>1394</v>
      </c>
      <c r="G15" s="44" t="s">
        <v>1395</v>
      </c>
      <c r="H15" s="44" t="s">
        <v>1396</v>
      </c>
      <c r="I15" s="44" t="s">
        <v>1397</v>
      </c>
      <c r="J15" s="44" t="s">
        <v>759</v>
      </c>
      <c r="K15" s="44" t="s">
        <v>760</v>
      </c>
      <c r="L15" s="44" t="s">
        <v>1398</v>
      </c>
      <c r="M15" s="44" t="s">
        <v>721</v>
      </c>
    </row>
    <row r="16" spans="1:13" ht="62.65" customHeight="1">
      <c r="A16" s="41">
        <v>7</v>
      </c>
      <c r="B16" s="40" t="s">
        <v>761</v>
      </c>
      <c r="C16" s="40" t="s">
        <v>762</v>
      </c>
      <c r="D16" s="40" t="s">
        <v>763</v>
      </c>
      <c r="E16" s="40" t="s">
        <v>764</v>
      </c>
      <c r="F16" s="40" t="s">
        <v>1399</v>
      </c>
      <c r="G16" s="40" t="s">
        <v>1400</v>
      </c>
      <c r="H16" s="40" t="s">
        <v>1401</v>
      </c>
      <c r="I16" s="40" t="s">
        <v>1402</v>
      </c>
      <c r="J16" s="40" t="s">
        <v>767</v>
      </c>
      <c r="K16" s="40" t="s">
        <v>768</v>
      </c>
      <c r="L16" s="40" t="s">
        <v>1403</v>
      </c>
      <c r="M16" s="40" t="s">
        <v>769</v>
      </c>
    </row>
    <row r="17" spans="1:13" ht="62.65" customHeight="1">
      <c r="A17" s="41">
        <v>8</v>
      </c>
      <c r="B17" s="44" t="s">
        <v>770</v>
      </c>
      <c r="C17" s="44" t="s">
        <v>771</v>
      </c>
      <c r="D17" s="44" t="s">
        <v>772</v>
      </c>
      <c r="E17" s="44" t="s">
        <v>773</v>
      </c>
      <c r="F17" s="44" t="s">
        <v>1404</v>
      </c>
      <c r="G17" s="44" t="s">
        <v>1405</v>
      </c>
      <c r="H17" s="44" t="s">
        <v>1406</v>
      </c>
      <c r="I17" s="44" t="s">
        <v>1407</v>
      </c>
      <c r="J17" s="44" t="s">
        <v>776</v>
      </c>
      <c r="K17" s="44" t="s">
        <v>777</v>
      </c>
      <c r="L17" s="44" t="s">
        <v>1408</v>
      </c>
      <c r="M17" s="44" t="s">
        <v>769</v>
      </c>
    </row>
    <row r="18" spans="1:13" ht="62.65" customHeight="1">
      <c r="A18" s="41">
        <v>9</v>
      </c>
      <c r="B18" s="51" t="s">
        <v>426</v>
      </c>
      <c r="C18" s="51" t="s">
        <v>778</v>
      </c>
      <c r="D18" s="51" t="s">
        <v>779</v>
      </c>
      <c r="E18" s="51" t="s">
        <v>780</v>
      </c>
      <c r="F18" s="51" t="s">
        <v>1409</v>
      </c>
      <c r="G18" s="51" t="s">
        <v>1410</v>
      </c>
      <c r="H18" s="51" t="s">
        <v>1411</v>
      </c>
      <c r="I18" s="51" t="s">
        <v>1412</v>
      </c>
      <c r="J18" s="51" t="s">
        <v>783</v>
      </c>
      <c r="K18" s="51" t="s">
        <v>784</v>
      </c>
      <c r="L18" s="51" t="s">
        <v>1413</v>
      </c>
      <c r="M18" s="51" t="s">
        <v>721</v>
      </c>
    </row>
    <row r="19" spans="1:13" ht="62.65" customHeight="1">
      <c r="A19" s="41">
        <v>10</v>
      </c>
      <c r="B19" s="44" t="s">
        <v>785</v>
      </c>
      <c r="C19" s="44" t="s">
        <v>786</v>
      </c>
      <c r="D19" s="44" t="s">
        <v>787</v>
      </c>
      <c r="E19" s="44" t="s">
        <v>788</v>
      </c>
      <c r="F19" s="44" t="s">
        <v>1414</v>
      </c>
      <c r="G19" s="44" t="s">
        <v>1415</v>
      </c>
      <c r="H19" s="44" t="s">
        <v>1416</v>
      </c>
      <c r="I19" s="44" t="s">
        <v>1417</v>
      </c>
      <c r="J19" s="44" t="s">
        <v>791</v>
      </c>
      <c r="K19" s="44" t="s">
        <v>792</v>
      </c>
      <c r="L19" s="44" t="s">
        <v>1418</v>
      </c>
      <c r="M19" s="44" t="s">
        <v>721</v>
      </c>
    </row>
    <row r="20" spans="1:13" ht="62.65" customHeight="1">
      <c r="A20" s="41">
        <v>11</v>
      </c>
      <c r="B20" s="40" t="s">
        <v>793</v>
      </c>
      <c r="C20" s="40" t="s">
        <v>794</v>
      </c>
      <c r="D20" s="40" t="s">
        <v>795</v>
      </c>
      <c r="E20" s="40" t="s">
        <v>796</v>
      </c>
      <c r="F20" s="40" t="s">
        <v>1419</v>
      </c>
      <c r="G20" s="40" t="s">
        <v>1420</v>
      </c>
      <c r="H20" s="40" t="s">
        <v>1421</v>
      </c>
      <c r="I20" s="40" t="s">
        <v>1422</v>
      </c>
      <c r="J20" s="40" t="s">
        <v>799</v>
      </c>
      <c r="K20" s="40" t="s">
        <v>800</v>
      </c>
      <c r="L20" s="40" t="s">
        <v>1423</v>
      </c>
      <c r="M20" s="40" t="s">
        <v>721</v>
      </c>
    </row>
    <row r="21" spans="1:13" ht="62.65" customHeight="1">
      <c r="A21" s="41">
        <v>12</v>
      </c>
      <c r="B21" s="44" t="s">
        <v>801</v>
      </c>
      <c r="C21" s="44" t="s">
        <v>802</v>
      </c>
      <c r="D21" s="44" t="s">
        <v>803</v>
      </c>
      <c r="E21" s="44" t="s">
        <v>804</v>
      </c>
      <c r="F21" s="44" t="s">
        <v>1424</v>
      </c>
      <c r="G21" s="44" t="s">
        <v>1425</v>
      </c>
      <c r="H21" s="44" t="s">
        <v>1426</v>
      </c>
      <c r="I21" s="44" t="s">
        <v>1427</v>
      </c>
      <c r="J21" s="44" t="s">
        <v>807</v>
      </c>
      <c r="K21" s="44" t="s">
        <v>808</v>
      </c>
      <c r="L21" s="44" t="s">
        <v>1428</v>
      </c>
      <c r="M21" s="44" t="s">
        <v>721</v>
      </c>
    </row>
    <row r="22" spans="1:13" ht="62.65" customHeight="1">
      <c r="A22" s="47">
        <v>13</v>
      </c>
      <c r="B22" s="55" t="s">
        <v>809</v>
      </c>
      <c r="C22" s="55" t="s">
        <v>810</v>
      </c>
      <c r="D22" s="55" t="s">
        <v>811</v>
      </c>
      <c r="E22" s="55" t="s">
        <v>812</v>
      </c>
      <c r="F22" s="55" t="s">
        <v>1429</v>
      </c>
      <c r="G22" s="55" t="s">
        <v>1430</v>
      </c>
      <c r="H22" s="55" t="s">
        <v>1431</v>
      </c>
      <c r="I22" s="55" t="s">
        <v>1432</v>
      </c>
      <c r="J22" s="55" t="s">
        <v>815</v>
      </c>
      <c r="K22" s="55" t="s">
        <v>816</v>
      </c>
      <c r="L22" s="55" t="s">
        <v>1433</v>
      </c>
      <c r="M22" s="55" t="s">
        <v>721</v>
      </c>
    </row>
    <row r="23" spans="1:13" ht="62.65" customHeight="1">
      <c r="A23" s="47">
        <v>14</v>
      </c>
      <c r="B23" s="54" t="s">
        <v>817</v>
      </c>
      <c r="C23" s="54" t="s">
        <v>818</v>
      </c>
      <c r="D23" s="54" t="s">
        <v>819</v>
      </c>
      <c r="E23" s="54" t="s">
        <v>820</v>
      </c>
      <c r="F23" s="54" t="s">
        <v>1434</v>
      </c>
      <c r="G23" s="54" t="s">
        <v>1435</v>
      </c>
      <c r="H23" s="54" t="s">
        <v>1436</v>
      </c>
      <c r="I23" s="54" t="s">
        <v>1437</v>
      </c>
      <c r="J23" s="54" t="s">
        <v>823</v>
      </c>
      <c r="K23" s="54" t="s">
        <v>824</v>
      </c>
      <c r="L23" s="54" t="s">
        <v>1438</v>
      </c>
      <c r="M23" s="54" t="s">
        <v>825</v>
      </c>
    </row>
    <row r="24" spans="1:13" ht="62.65" customHeight="1">
      <c r="A24" s="47">
        <v>15</v>
      </c>
      <c r="B24" s="55" t="s">
        <v>826</v>
      </c>
      <c r="C24" s="55" t="s">
        <v>827</v>
      </c>
      <c r="D24" s="55" t="s">
        <v>828</v>
      </c>
      <c r="E24" s="55" t="s">
        <v>829</v>
      </c>
      <c r="F24" s="55" t="s">
        <v>1439</v>
      </c>
      <c r="G24" s="55" t="s">
        <v>1440</v>
      </c>
      <c r="H24" s="55" t="s">
        <v>1441</v>
      </c>
      <c r="I24" s="55" t="s">
        <v>1442</v>
      </c>
      <c r="J24" s="55" t="s">
        <v>832</v>
      </c>
      <c r="K24" s="55" t="s">
        <v>833</v>
      </c>
      <c r="L24" s="55" t="s">
        <v>1443</v>
      </c>
      <c r="M24" s="55" t="s">
        <v>721</v>
      </c>
    </row>
    <row r="25" spans="1:13" ht="62.65" customHeight="1">
      <c r="A25" s="47">
        <v>16</v>
      </c>
      <c r="B25" s="49" t="s">
        <v>834</v>
      </c>
      <c r="C25" s="49" t="s">
        <v>835</v>
      </c>
      <c r="D25" s="49" t="s">
        <v>836</v>
      </c>
      <c r="E25" s="49" t="s">
        <v>837</v>
      </c>
      <c r="F25" s="49" t="s">
        <v>1444</v>
      </c>
      <c r="G25" s="49" t="s">
        <v>1445</v>
      </c>
      <c r="H25" s="49" t="s">
        <v>1446</v>
      </c>
      <c r="I25" s="49" t="s">
        <v>1447</v>
      </c>
      <c r="J25" s="49" t="s">
        <v>840</v>
      </c>
      <c r="K25" s="49" t="s">
        <v>841</v>
      </c>
      <c r="L25" s="49" t="s">
        <v>1448</v>
      </c>
      <c r="M25" s="49" t="s">
        <v>721</v>
      </c>
    </row>
  </sheetData>
  <mergeCells count="7">
    <mergeCell ref="B6:M6"/>
    <mergeCell ref="B7:M7"/>
    <mergeCell ref="A1:M1"/>
    <mergeCell ref="A2:M2"/>
    <mergeCell ref="B3:M3"/>
    <mergeCell ref="B4:M4"/>
    <mergeCell ref="B5:M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5"/>
  <sheetViews>
    <sheetView workbookViewId="0"/>
  </sheetViews>
  <sheetFormatPr defaultRowHeight="14"/>
  <cols>
    <col min="1" max="1" width="8" customWidth="1"/>
    <col min="2" max="2" width="16" customWidth="1"/>
    <col min="3" max="3" width="34" customWidth="1"/>
    <col min="4" max="5" width="39" customWidth="1"/>
    <col min="6" max="6" width="42" customWidth="1"/>
    <col min="7" max="7" width="51" customWidth="1"/>
    <col min="8" max="8" width="43" customWidth="1"/>
    <col min="9" max="9" width="33" customWidth="1"/>
    <col min="10" max="13" width="37" customWidth="1"/>
  </cols>
  <sheetData>
    <row r="1" spans="1:13" ht="18.649999999999999" customHeight="1">
      <c r="A1" s="60" t="s">
        <v>1449</v>
      </c>
      <c r="B1" s="60"/>
      <c r="C1" s="60"/>
      <c r="D1" s="60"/>
      <c r="E1" s="60"/>
      <c r="F1" s="60"/>
      <c r="G1" s="60"/>
      <c r="H1" s="60"/>
      <c r="I1" s="60"/>
      <c r="J1" s="60"/>
      <c r="K1" s="60"/>
      <c r="L1" s="60"/>
      <c r="M1" s="60"/>
    </row>
    <row r="2" spans="1:13" ht="17.399999999999999" customHeight="1">
      <c r="A2" s="61" t="s">
        <v>1450</v>
      </c>
      <c r="B2" s="61"/>
      <c r="C2" s="61"/>
      <c r="D2" s="61"/>
      <c r="E2" s="61"/>
      <c r="F2" s="61"/>
      <c r="G2" s="61"/>
      <c r="H2" s="61"/>
      <c r="I2" s="61"/>
      <c r="J2" s="61"/>
      <c r="K2" s="61"/>
      <c r="L2" s="61"/>
      <c r="M2" s="61"/>
    </row>
    <row r="3" spans="1:13" ht="18.649999999999999" customHeight="1">
      <c r="A3" s="9" t="s">
        <v>1100</v>
      </c>
      <c r="B3" s="69" t="s">
        <v>1451</v>
      </c>
      <c r="C3" s="69"/>
      <c r="D3" s="69"/>
      <c r="E3" s="69"/>
      <c r="F3" s="69"/>
      <c r="G3" s="69"/>
      <c r="H3" s="69"/>
      <c r="I3" s="69"/>
      <c r="J3" s="69"/>
      <c r="K3" s="69"/>
      <c r="L3" s="69"/>
      <c r="M3" s="69"/>
    </row>
    <row r="4" spans="1:13" ht="18.649999999999999" customHeight="1">
      <c r="A4" s="9" t="s">
        <v>17</v>
      </c>
      <c r="B4" s="69" t="s">
        <v>56</v>
      </c>
      <c r="C4" s="69"/>
      <c r="D4" s="69"/>
      <c r="E4" s="69"/>
      <c r="F4" s="69"/>
      <c r="G4" s="69"/>
      <c r="H4" s="69"/>
      <c r="I4" s="69"/>
      <c r="J4" s="69"/>
      <c r="K4" s="69"/>
      <c r="L4" s="69"/>
      <c r="M4" s="69"/>
    </row>
    <row r="5" spans="1:13" ht="18.649999999999999" customHeight="1">
      <c r="A5" s="9" t="s">
        <v>18</v>
      </c>
      <c r="B5" s="69" t="s">
        <v>57</v>
      </c>
      <c r="C5" s="69"/>
      <c r="D5" s="69"/>
      <c r="E5" s="69"/>
      <c r="F5" s="69"/>
      <c r="G5" s="69"/>
      <c r="H5" s="69"/>
      <c r="I5" s="69"/>
      <c r="J5" s="69"/>
      <c r="K5" s="69"/>
      <c r="L5" s="69"/>
      <c r="M5" s="69"/>
    </row>
    <row r="6" spans="1:13" ht="18.649999999999999" customHeight="1">
      <c r="A6" s="9" t="s">
        <v>1102</v>
      </c>
      <c r="B6" s="69" t="s">
        <v>1452</v>
      </c>
      <c r="C6" s="69"/>
      <c r="D6" s="69"/>
      <c r="E6" s="69"/>
      <c r="F6" s="69"/>
      <c r="G6" s="69"/>
      <c r="H6" s="69"/>
      <c r="I6" s="69"/>
      <c r="J6" s="69"/>
      <c r="K6" s="69"/>
      <c r="L6" s="69"/>
      <c r="M6" s="69"/>
    </row>
    <row r="7" spans="1:13" ht="18.649999999999999" customHeight="1">
      <c r="A7" s="9" t="s">
        <v>1104</v>
      </c>
      <c r="B7" s="70" t="s">
        <v>1105</v>
      </c>
      <c r="C7" s="70"/>
      <c r="D7" s="70"/>
      <c r="E7" s="70"/>
      <c r="F7" s="70"/>
      <c r="G7" s="70"/>
      <c r="H7" s="70"/>
      <c r="I7" s="70"/>
      <c r="J7" s="70"/>
      <c r="K7" s="70"/>
      <c r="L7" s="70"/>
      <c r="M7" s="70"/>
    </row>
    <row r="9" spans="1:13" ht="30.65" customHeight="1">
      <c r="A9" s="50" t="s">
        <v>321</v>
      </c>
      <c r="B9" s="50" t="s">
        <v>1106</v>
      </c>
      <c r="C9" s="50" t="s">
        <v>1107</v>
      </c>
      <c r="D9" s="50" t="s">
        <v>1108</v>
      </c>
      <c r="E9" s="50" t="s">
        <v>1109</v>
      </c>
      <c r="F9" s="50" t="s">
        <v>1110</v>
      </c>
      <c r="G9" s="50" t="s">
        <v>1111</v>
      </c>
      <c r="H9" s="50" t="s">
        <v>1112</v>
      </c>
      <c r="I9" s="50" t="s">
        <v>1113</v>
      </c>
      <c r="J9" s="50" t="s">
        <v>1114</v>
      </c>
      <c r="K9" s="50" t="s">
        <v>1115</v>
      </c>
      <c r="L9" s="50" t="s">
        <v>1116</v>
      </c>
      <c r="M9" s="50" t="s">
        <v>1117</v>
      </c>
    </row>
    <row r="10" spans="1:13" ht="62.65" customHeight="1">
      <c r="A10" s="41">
        <v>1</v>
      </c>
      <c r="B10" s="40" t="s">
        <v>842</v>
      </c>
      <c r="C10" s="40" t="s">
        <v>843</v>
      </c>
      <c r="D10" s="40" t="s">
        <v>844</v>
      </c>
      <c r="E10" s="40" t="s">
        <v>845</v>
      </c>
      <c r="F10" s="40" t="s">
        <v>1453</v>
      </c>
      <c r="G10" s="40" t="s">
        <v>1454</v>
      </c>
      <c r="H10" s="40" t="s">
        <v>1455</v>
      </c>
      <c r="I10" s="40" t="s">
        <v>1456</v>
      </c>
      <c r="J10" s="40" t="s">
        <v>848</v>
      </c>
      <c r="K10" s="40" t="s">
        <v>849</v>
      </c>
      <c r="L10" s="40" t="s">
        <v>1457</v>
      </c>
      <c r="M10" s="40" t="s">
        <v>850</v>
      </c>
    </row>
    <row r="11" spans="1:13" ht="62.65" customHeight="1">
      <c r="A11" s="41">
        <v>2</v>
      </c>
      <c r="B11" s="43" t="s">
        <v>851</v>
      </c>
      <c r="C11" s="43" t="s">
        <v>852</v>
      </c>
      <c r="D11" s="43" t="s">
        <v>853</v>
      </c>
      <c r="E11" s="43" t="s">
        <v>854</v>
      </c>
      <c r="F11" s="43" t="s">
        <v>1458</v>
      </c>
      <c r="G11" s="43" t="s">
        <v>1459</v>
      </c>
      <c r="H11" s="43" t="s">
        <v>1460</v>
      </c>
      <c r="I11" s="43" t="s">
        <v>1461</v>
      </c>
      <c r="J11" s="43" t="s">
        <v>857</v>
      </c>
      <c r="K11" s="43" t="s">
        <v>858</v>
      </c>
      <c r="L11" s="43" t="s">
        <v>1462</v>
      </c>
      <c r="M11" s="43" t="s">
        <v>850</v>
      </c>
    </row>
    <row r="12" spans="1:13" ht="62.65" customHeight="1">
      <c r="A12" s="41">
        <v>3</v>
      </c>
      <c r="B12" s="42" t="s">
        <v>859</v>
      </c>
      <c r="C12" s="42" t="s">
        <v>860</v>
      </c>
      <c r="D12" s="42" t="s">
        <v>861</v>
      </c>
      <c r="E12" s="42" t="s">
        <v>862</v>
      </c>
      <c r="F12" s="42" t="s">
        <v>1463</v>
      </c>
      <c r="G12" s="42" t="s">
        <v>1464</v>
      </c>
      <c r="H12" s="42" t="s">
        <v>1465</v>
      </c>
      <c r="I12" s="42" t="s">
        <v>1466</v>
      </c>
      <c r="J12" s="42" t="s">
        <v>865</v>
      </c>
      <c r="K12" s="42" t="s">
        <v>866</v>
      </c>
      <c r="L12" s="42" t="s">
        <v>1467</v>
      </c>
      <c r="M12" s="42" t="s">
        <v>850</v>
      </c>
    </row>
    <row r="13" spans="1:13" ht="62.65" customHeight="1">
      <c r="A13" s="41">
        <v>4</v>
      </c>
      <c r="B13" s="44" t="s">
        <v>867</v>
      </c>
      <c r="C13" s="44" t="s">
        <v>868</v>
      </c>
      <c r="D13" s="44" t="s">
        <v>869</v>
      </c>
      <c r="E13" s="44" t="s">
        <v>870</v>
      </c>
      <c r="F13" s="44" t="s">
        <v>1468</v>
      </c>
      <c r="G13" s="44" t="s">
        <v>1469</v>
      </c>
      <c r="H13" s="44" t="s">
        <v>1470</v>
      </c>
      <c r="I13" s="44" t="s">
        <v>1471</v>
      </c>
      <c r="J13" s="44" t="s">
        <v>873</v>
      </c>
      <c r="K13" s="44" t="s">
        <v>874</v>
      </c>
      <c r="L13" s="44" t="s">
        <v>1472</v>
      </c>
      <c r="M13" s="44" t="s">
        <v>850</v>
      </c>
    </row>
    <row r="14" spans="1:13" ht="62.65" customHeight="1">
      <c r="A14" s="41">
        <v>5</v>
      </c>
      <c r="B14" s="40" t="s">
        <v>875</v>
      </c>
      <c r="C14" s="40" t="s">
        <v>876</v>
      </c>
      <c r="D14" s="40" t="s">
        <v>877</v>
      </c>
      <c r="E14" s="40" t="s">
        <v>878</v>
      </c>
      <c r="F14" s="40" t="s">
        <v>1473</v>
      </c>
      <c r="G14" s="40" t="s">
        <v>1474</v>
      </c>
      <c r="H14" s="40" t="s">
        <v>1475</v>
      </c>
      <c r="I14" s="40" t="s">
        <v>1476</v>
      </c>
      <c r="J14" s="40" t="s">
        <v>881</v>
      </c>
      <c r="K14" s="40" t="s">
        <v>882</v>
      </c>
      <c r="L14" s="40" t="s">
        <v>1477</v>
      </c>
      <c r="M14" s="40" t="s">
        <v>850</v>
      </c>
    </row>
    <row r="15" spans="1:13" ht="62.65" customHeight="1">
      <c r="A15" s="41">
        <v>6</v>
      </c>
      <c r="B15" s="43" t="s">
        <v>883</v>
      </c>
      <c r="C15" s="43" t="s">
        <v>884</v>
      </c>
      <c r="D15" s="43" t="s">
        <v>885</v>
      </c>
      <c r="E15" s="43" t="s">
        <v>886</v>
      </c>
      <c r="F15" s="43" t="s">
        <v>1478</v>
      </c>
      <c r="G15" s="43" t="s">
        <v>1479</v>
      </c>
      <c r="H15" s="43" t="s">
        <v>1480</v>
      </c>
      <c r="I15" s="43" t="s">
        <v>1481</v>
      </c>
      <c r="J15" s="43" t="s">
        <v>889</v>
      </c>
      <c r="K15" s="43" t="s">
        <v>890</v>
      </c>
      <c r="L15" s="43" t="s">
        <v>1482</v>
      </c>
      <c r="M15" s="43" t="s">
        <v>850</v>
      </c>
    </row>
    <row r="16" spans="1:13" ht="62.65" customHeight="1">
      <c r="A16" s="41">
        <v>7</v>
      </c>
      <c r="B16" s="40" t="s">
        <v>891</v>
      </c>
      <c r="C16" s="40" t="s">
        <v>892</v>
      </c>
      <c r="D16" s="40" t="s">
        <v>893</v>
      </c>
      <c r="E16" s="40" t="s">
        <v>894</v>
      </c>
      <c r="F16" s="40" t="s">
        <v>1483</v>
      </c>
      <c r="G16" s="40" t="s">
        <v>1484</v>
      </c>
      <c r="H16" s="40" t="s">
        <v>1485</v>
      </c>
      <c r="I16" s="40" t="s">
        <v>1486</v>
      </c>
      <c r="J16" s="40" t="s">
        <v>897</v>
      </c>
      <c r="K16" s="40" t="s">
        <v>898</v>
      </c>
      <c r="L16" s="40" t="s">
        <v>1487</v>
      </c>
      <c r="M16" s="40" t="s">
        <v>850</v>
      </c>
    </row>
    <row r="17" spans="1:13" ht="62.65" customHeight="1">
      <c r="A17" s="41">
        <v>8</v>
      </c>
      <c r="B17" s="44" t="s">
        <v>899</v>
      </c>
      <c r="C17" s="44" t="s">
        <v>900</v>
      </c>
      <c r="D17" s="44" t="s">
        <v>901</v>
      </c>
      <c r="E17" s="44" t="s">
        <v>902</v>
      </c>
      <c r="F17" s="44" t="s">
        <v>1488</v>
      </c>
      <c r="G17" s="44" t="s">
        <v>1489</v>
      </c>
      <c r="H17" s="44" t="s">
        <v>1490</v>
      </c>
      <c r="I17" s="44" t="s">
        <v>1491</v>
      </c>
      <c r="J17" s="44" t="s">
        <v>905</v>
      </c>
      <c r="K17" s="44" t="s">
        <v>906</v>
      </c>
      <c r="L17" s="44" t="s">
        <v>1492</v>
      </c>
      <c r="M17" s="44" t="s">
        <v>850</v>
      </c>
    </row>
    <row r="18" spans="1:13" ht="62.65" customHeight="1">
      <c r="A18" s="41">
        <v>9</v>
      </c>
      <c r="B18" s="56" t="s">
        <v>907</v>
      </c>
      <c r="C18" s="56" t="s">
        <v>908</v>
      </c>
      <c r="D18" s="56" t="s">
        <v>909</v>
      </c>
      <c r="E18" s="56" t="s">
        <v>910</v>
      </c>
      <c r="F18" s="56" t="s">
        <v>1493</v>
      </c>
      <c r="G18" s="56" t="s">
        <v>1494</v>
      </c>
      <c r="H18" s="56" t="s">
        <v>1495</v>
      </c>
      <c r="I18" s="56" t="s">
        <v>1496</v>
      </c>
      <c r="J18" s="56" t="s">
        <v>913</v>
      </c>
      <c r="K18" s="56" t="s">
        <v>914</v>
      </c>
      <c r="L18" s="56" t="s">
        <v>1497</v>
      </c>
      <c r="M18" s="56" t="s">
        <v>850</v>
      </c>
    </row>
    <row r="19" spans="1:13" ht="62.65" customHeight="1">
      <c r="A19" s="41">
        <v>10</v>
      </c>
      <c r="B19" s="45" t="s">
        <v>387</v>
      </c>
      <c r="C19" s="45" t="s">
        <v>915</v>
      </c>
      <c r="D19" s="45" t="s">
        <v>916</v>
      </c>
      <c r="E19" s="45" t="s">
        <v>917</v>
      </c>
      <c r="F19" s="45" t="s">
        <v>1498</v>
      </c>
      <c r="G19" s="45" t="s">
        <v>1499</v>
      </c>
      <c r="H19" s="45" t="s">
        <v>1500</v>
      </c>
      <c r="I19" s="45" t="s">
        <v>1501</v>
      </c>
      <c r="J19" s="45" t="s">
        <v>920</v>
      </c>
      <c r="K19" s="45" t="s">
        <v>921</v>
      </c>
      <c r="L19" s="45" t="s">
        <v>1502</v>
      </c>
      <c r="M19" s="45" t="s">
        <v>850</v>
      </c>
    </row>
    <row r="20" spans="1:13" ht="62.65" customHeight="1">
      <c r="A20" s="41">
        <v>11</v>
      </c>
      <c r="B20" s="40" t="s">
        <v>922</v>
      </c>
      <c r="C20" s="40" t="s">
        <v>923</v>
      </c>
      <c r="D20" s="40" t="s">
        <v>924</v>
      </c>
      <c r="E20" s="40" t="s">
        <v>925</v>
      </c>
      <c r="F20" s="40" t="s">
        <v>1503</v>
      </c>
      <c r="G20" s="40" t="s">
        <v>1504</v>
      </c>
      <c r="H20" s="40" t="s">
        <v>1505</v>
      </c>
      <c r="I20" s="40" t="s">
        <v>1506</v>
      </c>
      <c r="J20" s="40" t="s">
        <v>928</v>
      </c>
      <c r="K20" s="40" t="s">
        <v>929</v>
      </c>
      <c r="L20" s="40" t="s">
        <v>1507</v>
      </c>
      <c r="M20" s="40" t="s">
        <v>850</v>
      </c>
    </row>
    <row r="21" spans="1:13" ht="62.65" customHeight="1">
      <c r="A21" s="41">
        <v>12</v>
      </c>
      <c r="B21" s="44" t="s">
        <v>930</v>
      </c>
      <c r="C21" s="44" t="s">
        <v>931</v>
      </c>
      <c r="D21" s="44" t="s">
        <v>932</v>
      </c>
      <c r="E21" s="44" t="s">
        <v>933</v>
      </c>
      <c r="F21" s="44" t="s">
        <v>1508</v>
      </c>
      <c r="G21" s="44" t="s">
        <v>1509</v>
      </c>
      <c r="H21" s="44" t="s">
        <v>1510</v>
      </c>
      <c r="I21" s="44" t="s">
        <v>1511</v>
      </c>
      <c r="J21" s="44" t="s">
        <v>936</v>
      </c>
      <c r="K21" s="44" t="s">
        <v>937</v>
      </c>
      <c r="L21" s="44" t="s">
        <v>1512</v>
      </c>
      <c r="M21" s="44" t="s">
        <v>850</v>
      </c>
    </row>
    <row r="22" spans="1:13" ht="62.65" customHeight="1">
      <c r="A22" s="47">
        <v>13</v>
      </c>
      <c r="B22" s="53" t="s">
        <v>938</v>
      </c>
      <c r="C22" s="53" t="s">
        <v>939</v>
      </c>
      <c r="D22" s="53" t="s">
        <v>940</v>
      </c>
      <c r="E22" s="53" t="s">
        <v>941</v>
      </c>
      <c r="F22" s="53" t="s">
        <v>1513</v>
      </c>
      <c r="G22" s="53" t="s">
        <v>1514</v>
      </c>
      <c r="H22" s="53" t="s">
        <v>1515</v>
      </c>
      <c r="I22" s="53" t="s">
        <v>1516</v>
      </c>
      <c r="J22" s="53" t="s">
        <v>944</v>
      </c>
      <c r="K22" s="53" t="s">
        <v>945</v>
      </c>
      <c r="L22" s="53" t="s">
        <v>1517</v>
      </c>
      <c r="M22" s="53" t="s">
        <v>850</v>
      </c>
    </row>
    <row r="23" spans="1:13" ht="62.65" customHeight="1">
      <c r="A23" s="47">
        <v>14</v>
      </c>
      <c r="B23" s="48" t="s">
        <v>946</v>
      </c>
      <c r="C23" s="48" t="s">
        <v>947</v>
      </c>
      <c r="D23" s="48" t="s">
        <v>948</v>
      </c>
      <c r="E23" s="48" t="s">
        <v>949</v>
      </c>
      <c r="F23" s="48" t="s">
        <v>1518</v>
      </c>
      <c r="G23" s="48" t="s">
        <v>1519</v>
      </c>
      <c r="H23" s="48" t="s">
        <v>1520</v>
      </c>
      <c r="I23" s="48" t="s">
        <v>1521</v>
      </c>
      <c r="J23" s="48" t="s">
        <v>952</v>
      </c>
      <c r="K23" s="48" t="s">
        <v>953</v>
      </c>
      <c r="L23" s="48" t="s">
        <v>1522</v>
      </c>
      <c r="M23" s="48" t="s">
        <v>850</v>
      </c>
    </row>
    <row r="24" spans="1:13" ht="62.65" customHeight="1">
      <c r="A24" s="47">
        <v>15</v>
      </c>
      <c r="B24" s="55" t="s">
        <v>954</v>
      </c>
      <c r="C24" s="55" t="s">
        <v>955</v>
      </c>
      <c r="D24" s="55" t="s">
        <v>956</v>
      </c>
      <c r="E24" s="55" t="s">
        <v>957</v>
      </c>
      <c r="F24" s="55" t="s">
        <v>1523</v>
      </c>
      <c r="G24" s="55" t="s">
        <v>1524</v>
      </c>
      <c r="H24" s="55" t="s">
        <v>1525</v>
      </c>
      <c r="I24" s="55" t="s">
        <v>1526</v>
      </c>
      <c r="J24" s="55" t="s">
        <v>960</v>
      </c>
      <c r="K24" s="55" t="s">
        <v>961</v>
      </c>
      <c r="L24" s="55" t="s">
        <v>1527</v>
      </c>
      <c r="M24" s="55" t="s">
        <v>850</v>
      </c>
    </row>
    <row r="25" spans="1:13" ht="62.65" customHeight="1">
      <c r="A25" s="47">
        <v>16</v>
      </c>
      <c r="B25" s="49" t="s">
        <v>962</v>
      </c>
      <c r="C25" s="49" t="s">
        <v>963</v>
      </c>
      <c r="D25" s="49" t="s">
        <v>964</v>
      </c>
      <c r="E25" s="49" t="s">
        <v>965</v>
      </c>
      <c r="F25" s="49" t="s">
        <v>1528</v>
      </c>
      <c r="G25" s="49" t="s">
        <v>1529</v>
      </c>
      <c r="H25" s="49" t="s">
        <v>1530</v>
      </c>
      <c r="I25" s="49" t="s">
        <v>1531</v>
      </c>
      <c r="J25" s="49" t="s">
        <v>968</v>
      </c>
      <c r="K25" s="49" t="s">
        <v>969</v>
      </c>
      <c r="L25" s="49" t="s">
        <v>1532</v>
      </c>
      <c r="M25" s="49" t="s">
        <v>850</v>
      </c>
    </row>
  </sheetData>
  <mergeCells count="7">
    <mergeCell ref="B6:M6"/>
    <mergeCell ref="B7:M7"/>
    <mergeCell ref="A1:M1"/>
    <mergeCell ref="A2:M2"/>
    <mergeCell ref="B3:M3"/>
    <mergeCell ref="B4:M4"/>
    <mergeCell ref="B5:M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25"/>
  <sheetViews>
    <sheetView workbookViewId="0"/>
  </sheetViews>
  <sheetFormatPr defaultRowHeight="14"/>
  <cols>
    <col min="1" max="1" width="8" customWidth="1"/>
    <col min="2" max="2" width="16" customWidth="1"/>
    <col min="3" max="3" width="34" customWidth="1"/>
    <col min="4" max="5" width="39" customWidth="1"/>
    <col min="6" max="6" width="42" customWidth="1"/>
    <col min="7" max="7" width="51" customWidth="1"/>
    <col min="8" max="8" width="43" customWidth="1"/>
    <col min="9" max="9" width="33" customWidth="1"/>
    <col min="10" max="13" width="37" customWidth="1"/>
  </cols>
  <sheetData>
    <row r="1" spans="1:13" ht="18.649999999999999" customHeight="1">
      <c r="A1" s="60" t="s">
        <v>1533</v>
      </c>
      <c r="B1" s="60"/>
      <c r="C1" s="60"/>
      <c r="D1" s="60"/>
      <c r="E1" s="60"/>
      <c r="F1" s="60"/>
      <c r="G1" s="60"/>
      <c r="H1" s="60"/>
      <c r="I1" s="60"/>
      <c r="J1" s="60"/>
      <c r="K1" s="60"/>
      <c r="L1" s="60"/>
      <c r="M1" s="60"/>
    </row>
    <row r="2" spans="1:13" ht="17.399999999999999" customHeight="1">
      <c r="A2" s="61" t="s">
        <v>1534</v>
      </c>
      <c r="B2" s="61"/>
      <c r="C2" s="61"/>
      <c r="D2" s="61"/>
      <c r="E2" s="61"/>
      <c r="F2" s="61"/>
      <c r="G2" s="61"/>
      <c r="H2" s="61"/>
      <c r="I2" s="61"/>
      <c r="J2" s="61"/>
      <c r="K2" s="61"/>
      <c r="L2" s="61"/>
      <c r="M2" s="61"/>
    </row>
    <row r="3" spans="1:13" ht="18.649999999999999" customHeight="1">
      <c r="A3" s="9" t="s">
        <v>1100</v>
      </c>
      <c r="B3" s="69" t="s">
        <v>1535</v>
      </c>
      <c r="C3" s="69"/>
      <c r="D3" s="69"/>
      <c r="E3" s="69"/>
      <c r="F3" s="69"/>
      <c r="G3" s="69"/>
      <c r="H3" s="69"/>
      <c r="I3" s="69"/>
      <c r="J3" s="69"/>
      <c r="K3" s="69"/>
      <c r="L3" s="69"/>
      <c r="M3" s="69"/>
    </row>
    <row r="4" spans="1:13" ht="18.649999999999999" customHeight="1">
      <c r="A4" s="9" t="s">
        <v>17</v>
      </c>
      <c r="B4" s="69" t="s">
        <v>64</v>
      </c>
      <c r="C4" s="69"/>
      <c r="D4" s="69"/>
      <c r="E4" s="69"/>
      <c r="F4" s="69"/>
      <c r="G4" s="69"/>
      <c r="H4" s="69"/>
      <c r="I4" s="69"/>
      <c r="J4" s="69"/>
      <c r="K4" s="69"/>
      <c r="L4" s="69"/>
      <c r="M4" s="69"/>
    </row>
    <row r="5" spans="1:13" ht="18.649999999999999" customHeight="1">
      <c r="A5" s="9" t="s">
        <v>18</v>
      </c>
      <c r="B5" s="69" t="s">
        <v>65</v>
      </c>
      <c r="C5" s="69"/>
      <c r="D5" s="69"/>
      <c r="E5" s="69"/>
      <c r="F5" s="69"/>
      <c r="G5" s="69"/>
      <c r="H5" s="69"/>
      <c r="I5" s="69"/>
      <c r="J5" s="69"/>
      <c r="K5" s="69"/>
      <c r="L5" s="69"/>
      <c r="M5" s="69"/>
    </row>
    <row r="6" spans="1:13" ht="18.649999999999999" customHeight="1">
      <c r="A6" s="9" t="s">
        <v>1102</v>
      </c>
      <c r="B6" s="69" t="s">
        <v>1536</v>
      </c>
      <c r="C6" s="69"/>
      <c r="D6" s="69"/>
      <c r="E6" s="69"/>
      <c r="F6" s="69"/>
      <c r="G6" s="69"/>
      <c r="H6" s="69"/>
      <c r="I6" s="69"/>
      <c r="J6" s="69"/>
      <c r="K6" s="69"/>
      <c r="L6" s="69"/>
      <c r="M6" s="69"/>
    </row>
    <row r="7" spans="1:13" ht="18.649999999999999" customHeight="1">
      <c r="A7" s="9" t="s">
        <v>1104</v>
      </c>
      <c r="B7" s="70" t="s">
        <v>1105</v>
      </c>
      <c r="C7" s="70"/>
      <c r="D7" s="70"/>
      <c r="E7" s="70"/>
      <c r="F7" s="70"/>
      <c r="G7" s="70"/>
      <c r="H7" s="70"/>
      <c r="I7" s="70"/>
      <c r="J7" s="70"/>
      <c r="K7" s="70"/>
      <c r="L7" s="70"/>
      <c r="M7" s="70"/>
    </row>
    <row r="9" spans="1:13" ht="30.65" customHeight="1">
      <c r="A9" s="50" t="s">
        <v>321</v>
      </c>
      <c r="B9" s="50" t="s">
        <v>1106</v>
      </c>
      <c r="C9" s="50" t="s">
        <v>1107</v>
      </c>
      <c r="D9" s="50" t="s">
        <v>1108</v>
      </c>
      <c r="E9" s="50" t="s">
        <v>1109</v>
      </c>
      <c r="F9" s="50" t="s">
        <v>1110</v>
      </c>
      <c r="G9" s="50" t="s">
        <v>1111</v>
      </c>
      <c r="H9" s="50" t="s">
        <v>1112</v>
      </c>
      <c r="I9" s="50" t="s">
        <v>1113</v>
      </c>
      <c r="J9" s="50" t="s">
        <v>1114</v>
      </c>
      <c r="K9" s="50" t="s">
        <v>1115</v>
      </c>
      <c r="L9" s="50" t="s">
        <v>1116</v>
      </c>
      <c r="M9" s="50" t="s">
        <v>1117</v>
      </c>
    </row>
    <row r="10" spans="1:13" ht="62.65" customHeight="1">
      <c r="A10" s="41">
        <v>1</v>
      </c>
      <c r="B10" s="40" t="s">
        <v>970</v>
      </c>
      <c r="C10" s="40" t="s">
        <v>971</v>
      </c>
      <c r="D10" s="40" t="s">
        <v>972</v>
      </c>
      <c r="E10" s="40" t="s">
        <v>973</v>
      </c>
      <c r="F10" s="40" t="s">
        <v>1537</v>
      </c>
      <c r="G10" s="40" t="s">
        <v>1538</v>
      </c>
      <c r="H10" s="40" t="s">
        <v>1539</v>
      </c>
      <c r="I10" s="40" t="s">
        <v>1540</v>
      </c>
      <c r="J10" s="40" t="s">
        <v>976</v>
      </c>
      <c r="K10" s="40" t="s">
        <v>977</v>
      </c>
      <c r="L10" s="40" t="s">
        <v>1541</v>
      </c>
      <c r="M10" s="40" t="s">
        <v>978</v>
      </c>
    </row>
    <row r="11" spans="1:13" ht="62.65" customHeight="1">
      <c r="A11" s="41">
        <v>2</v>
      </c>
      <c r="B11" s="44" t="s">
        <v>979</v>
      </c>
      <c r="C11" s="44" t="s">
        <v>980</v>
      </c>
      <c r="D11" s="44" t="s">
        <v>981</v>
      </c>
      <c r="E11" s="44" t="s">
        <v>982</v>
      </c>
      <c r="F11" s="44" t="s">
        <v>1542</v>
      </c>
      <c r="G11" s="44" t="s">
        <v>1543</v>
      </c>
      <c r="H11" s="44" t="s">
        <v>1544</v>
      </c>
      <c r="I11" s="44" t="s">
        <v>1545</v>
      </c>
      <c r="J11" s="44" t="s">
        <v>985</v>
      </c>
      <c r="K11" s="44" t="s">
        <v>986</v>
      </c>
      <c r="L11" s="44" t="s">
        <v>1546</v>
      </c>
      <c r="M11" s="44" t="s">
        <v>978</v>
      </c>
    </row>
    <row r="12" spans="1:13" ht="62.65" customHeight="1">
      <c r="A12" s="41">
        <v>3</v>
      </c>
      <c r="B12" s="40" t="s">
        <v>987</v>
      </c>
      <c r="C12" s="40" t="s">
        <v>988</v>
      </c>
      <c r="D12" s="40" t="s">
        <v>989</v>
      </c>
      <c r="E12" s="40" t="s">
        <v>990</v>
      </c>
      <c r="F12" s="40" t="s">
        <v>1547</v>
      </c>
      <c r="G12" s="40" t="s">
        <v>1548</v>
      </c>
      <c r="H12" s="40" t="s">
        <v>1549</v>
      </c>
      <c r="I12" s="40" t="s">
        <v>1550</v>
      </c>
      <c r="J12" s="40" t="s">
        <v>993</v>
      </c>
      <c r="K12" s="40" t="s">
        <v>994</v>
      </c>
      <c r="L12" s="40" t="s">
        <v>1551</v>
      </c>
      <c r="M12" s="40" t="s">
        <v>978</v>
      </c>
    </row>
    <row r="13" spans="1:13" ht="62.65" customHeight="1">
      <c r="A13" s="41">
        <v>4</v>
      </c>
      <c r="B13" s="44" t="s">
        <v>995</v>
      </c>
      <c r="C13" s="44" t="s">
        <v>996</v>
      </c>
      <c r="D13" s="44" t="s">
        <v>997</v>
      </c>
      <c r="E13" s="44" t="s">
        <v>998</v>
      </c>
      <c r="F13" s="44" t="s">
        <v>1552</v>
      </c>
      <c r="G13" s="44" t="s">
        <v>1553</v>
      </c>
      <c r="H13" s="44" t="s">
        <v>1554</v>
      </c>
      <c r="I13" s="44" t="s">
        <v>1555</v>
      </c>
      <c r="J13" s="44" t="s">
        <v>1001</v>
      </c>
      <c r="K13" s="44" t="s">
        <v>1002</v>
      </c>
      <c r="L13" s="44" t="s">
        <v>1556</v>
      </c>
      <c r="M13" s="44" t="s">
        <v>978</v>
      </c>
    </row>
    <row r="14" spans="1:13" ht="62.65" customHeight="1">
      <c r="A14" s="41">
        <v>5</v>
      </c>
      <c r="B14" s="43" t="s">
        <v>1003</v>
      </c>
      <c r="C14" s="43" t="s">
        <v>1004</v>
      </c>
      <c r="D14" s="43" t="s">
        <v>1005</v>
      </c>
      <c r="E14" s="43" t="s">
        <v>1006</v>
      </c>
      <c r="F14" s="43" t="s">
        <v>1557</v>
      </c>
      <c r="G14" s="43" t="s">
        <v>1558</v>
      </c>
      <c r="H14" s="43" t="s">
        <v>1559</v>
      </c>
      <c r="I14" s="43" t="s">
        <v>1560</v>
      </c>
      <c r="J14" s="43" t="s">
        <v>1009</v>
      </c>
      <c r="K14" s="43" t="s">
        <v>1010</v>
      </c>
      <c r="L14" s="43" t="s">
        <v>1561</v>
      </c>
      <c r="M14" s="43" t="s">
        <v>978</v>
      </c>
    </row>
    <row r="15" spans="1:13" ht="62.65" customHeight="1">
      <c r="A15" s="41">
        <v>6</v>
      </c>
      <c r="B15" s="44" t="s">
        <v>1011</v>
      </c>
      <c r="C15" s="44" t="s">
        <v>1012</v>
      </c>
      <c r="D15" s="44" t="s">
        <v>1013</v>
      </c>
      <c r="E15" s="44" t="s">
        <v>1014</v>
      </c>
      <c r="F15" s="44" t="s">
        <v>1562</v>
      </c>
      <c r="G15" s="44" t="s">
        <v>1563</v>
      </c>
      <c r="H15" s="44" t="s">
        <v>1564</v>
      </c>
      <c r="I15" s="44" t="s">
        <v>1565</v>
      </c>
      <c r="J15" s="44" t="s">
        <v>1017</v>
      </c>
      <c r="K15" s="44" t="s">
        <v>1018</v>
      </c>
      <c r="L15" s="44" t="s">
        <v>1566</v>
      </c>
      <c r="M15" s="44" t="s">
        <v>978</v>
      </c>
    </row>
    <row r="16" spans="1:13" ht="62.65" customHeight="1">
      <c r="A16" s="41">
        <v>7</v>
      </c>
      <c r="B16" s="51" t="s">
        <v>506</v>
      </c>
      <c r="C16" s="51" t="s">
        <v>1019</v>
      </c>
      <c r="D16" s="51" t="s">
        <v>1020</v>
      </c>
      <c r="E16" s="51" t="s">
        <v>1021</v>
      </c>
      <c r="F16" s="51" t="s">
        <v>1567</v>
      </c>
      <c r="G16" s="51" t="s">
        <v>1568</v>
      </c>
      <c r="H16" s="51" t="s">
        <v>1569</v>
      </c>
      <c r="I16" s="51" t="s">
        <v>1570</v>
      </c>
      <c r="J16" s="51" t="s">
        <v>1024</v>
      </c>
      <c r="K16" s="51" t="s">
        <v>1025</v>
      </c>
      <c r="L16" s="51" t="s">
        <v>1571</v>
      </c>
      <c r="M16" s="51" t="s">
        <v>978</v>
      </c>
    </row>
    <row r="17" spans="1:13" ht="62.65" customHeight="1">
      <c r="A17" s="41">
        <v>8</v>
      </c>
      <c r="B17" s="44" t="s">
        <v>1026</v>
      </c>
      <c r="C17" s="44" t="s">
        <v>1027</v>
      </c>
      <c r="D17" s="44" t="s">
        <v>1028</v>
      </c>
      <c r="E17" s="44" t="s">
        <v>1029</v>
      </c>
      <c r="F17" s="44" t="s">
        <v>1572</v>
      </c>
      <c r="G17" s="44" t="s">
        <v>1573</v>
      </c>
      <c r="H17" s="44" t="s">
        <v>1574</v>
      </c>
      <c r="I17" s="44" t="s">
        <v>1575</v>
      </c>
      <c r="J17" s="44" t="s">
        <v>1032</v>
      </c>
      <c r="K17" s="44" t="s">
        <v>1033</v>
      </c>
      <c r="L17" s="44" t="s">
        <v>1576</v>
      </c>
      <c r="M17" s="44" t="s">
        <v>978</v>
      </c>
    </row>
    <row r="18" spans="1:13" ht="62.65" customHeight="1">
      <c r="A18" s="41">
        <v>9</v>
      </c>
      <c r="B18" s="40" t="s">
        <v>1034</v>
      </c>
      <c r="C18" s="40" t="s">
        <v>1035</v>
      </c>
      <c r="D18" s="40" t="s">
        <v>1036</v>
      </c>
      <c r="E18" s="40" t="s">
        <v>1037</v>
      </c>
      <c r="F18" s="40" t="s">
        <v>1577</v>
      </c>
      <c r="G18" s="40" t="s">
        <v>1578</v>
      </c>
      <c r="H18" s="40" t="s">
        <v>1579</v>
      </c>
      <c r="I18" s="40" t="s">
        <v>1580</v>
      </c>
      <c r="J18" s="40" t="s">
        <v>1040</v>
      </c>
      <c r="K18" s="40" t="s">
        <v>1041</v>
      </c>
      <c r="L18" s="40" t="s">
        <v>1581</v>
      </c>
      <c r="M18" s="40" t="s">
        <v>978</v>
      </c>
    </row>
    <row r="19" spans="1:13" ht="62.65" customHeight="1">
      <c r="A19" s="41">
        <v>10</v>
      </c>
      <c r="B19" s="44" t="s">
        <v>1042</v>
      </c>
      <c r="C19" s="44" t="s">
        <v>1043</v>
      </c>
      <c r="D19" s="44" t="s">
        <v>1044</v>
      </c>
      <c r="E19" s="44" t="s">
        <v>1045</v>
      </c>
      <c r="F19" s="44" t="s">
        <v>1582</v>
      </c>
      <c r="G19" s="44" t="s">
        <v>1583</v>
      </c>
      <c r="H19" s="44" t="s">
        <v>1584</v>
      </c>
      <c r="I19" s="44" t="s">
        <v>1585</v>
      </c>
      <c r="J19" s="44" t="s">
        <v>1048</v>
      </c>
      <c r="K19" s="44" t="s">
        <v>1049</v>
      </c>
      <c r="L19" s="44" t="s">
        <v>1586</v>
      </c>
      <c r="M19" s="44" t="s">
        <v>978</v>
      </c>
    </row>
    <row r="20" spans="1:13" ht="62.65" customHeight="1">
      <c r="A20" s="41">
        <v>11</v>
      </c>
      <c r="B20" s="40" t="s">
        <v>1050</v>
      </c>
      <c r="C20" s="40" t="s">
        <v>1051</v>
      </c>
      <c r="D20" s="40" t="s">
        <v>1052</v>
      </c>
      <c r="E20" s="40" t="s">
        <v>1053</v>
      </c>
      <c r="F20" s="40" t="s">
        <v>1587</v>
      </c>
      <c r="G20" s="40" t="s">
        <v>1588</v>
      </c>
      <c r="H20" s="40" t="s">
        <v>1589</v>
      </c>
      <c r="I20" s="40" t="s">
        <v>1590</v>
      </c>
      <c r="J20" s="40" t="s">
        <v>1056</v>
      </c>
      <c r="K20" s="40" t="s">
        <v>1057</v>
      </c>
      <c r="L20" s="40" t="s">
        <v>1591</v>
      </c>
      <c r="M20" s="40" t="s">
        <v>978</v>
      </c>
    </row>
    <row r="21" spans="1:13" ht="62.65" customHeight="1">
      <c r="A21" s="41">
        <v>12</v>
      </c>
      <c r="B21" s="44" t="s">
        <v>1058</v>
      </c>
      <c r="C21" s="44" t="s">
        <v>1059</v>
      </c>
      <c r="D21" s="44" t="s">
        <v>1060</v>
      </c>
      <c r="E21" s="44" t="s">
        <v>1061</v>
      </c>
      <c r="F21" s="44" t="s">
        <v>1592</v>
      </c>
      <c r="G21" s="44" t="s">
        <v>1593</v>
      </c>
      <c r="H21" s="44" t="s">
        <v>1594</v>
      </c>
      <c r="I21" s="44" t="s">
        <v>1595</v>
      </c>
      <c r="J21" s="44" t="s">
        <v>1064</v>
      </c>
      <c r="K21" s="44" t="s">
        <v>1065</v>
      </c>
      <c r="L21" s="44" t="s">
        <v>1596</v>
      </c>
      <c r="M21" s="44" t="s">
        <v>978</v>
      </c>
    </row>
    <row r="22" spans="1:13" ht="62.65" customHeight="1">
      <c r="A22" s="47">
        <v>13</v>
      </c>
      <c r="B22" s="48" t="s">
        <v>1066</v>
      </c>
      <c r="C22" s="48" t="s">
        <v>1067</v>
      </c>
      <c r="D22" s="48" t="s">
        <v>1068</v>
      </c>
      <c r="E22" s="48" t="s">
        <v>1069</v>
      </c>
      <c r="F22" s="48" t="s">
        <v>1597</v>
      </c>
      <c r="G22" s="48" t="s">
        <v>1598</v>
      </c>
      <c r="H22" s="48" t="s">
        <v>1599</v>
      </c>
      <c r="I22" s="48" t="s">
        <v>1600</v>
      </c>
      <c r="J22" s="48" t="s">
        <v>1072</v>
      </c>
      <c r="K22" s="48" t="s">
        <v>1073</v>
      </c>
      <c r="L22" s="48" t="s">
        <v>1601</v>
      </c>
      <c r="M22" s="48" t="s">
        <v>978</v>
      </c>
    </row>
    <row r="23" spans="1:13" ht="62.65" customHeight="1">
      <c r="A23" s="47">
        <v>14</v>
      </c>
      <c r="B23" s="54" t="s">
        <v>1074</v>
      </c>
      <c r="C23" s="54" t="s">
        <v>1075</v>
      </c>
      <c r="D23" s="54" t="s">
        <v>1076</v>
      </c>
      <c r="E23" s="54" t="s">
        <v>1077</v>
      </c>
      <c r="F23" s="54" t="s">
        <v>1602</v>
      </c>
      <c r="G23" s="54" t="s">
        <v>1603</v>
      </c>
      <c r="H23" s="54" t="s">
        <v>1604</v>
      </c>
      <c r="I23" s="54" t="s">
        <v>1605</v>
      </c>
      <c r="J23" s="54" t="s">
        <v>1080</v>
      </c>
      <c r="K23" s="54" t="s">
        <v>1081</v>
      </c>
      <c r="L23" s="54" t="s">
        <v>1606</v>
      </c>
      <c r="M23" s="54" t="s">
        <v>978</v>
      </c>
    </row>
    <row r="24" spans="1:13" ht="62.65" customHeight="1">
      <c r="A24" s="47">
        <v>15</v>
      </c>
      <c r="B24" s="55" t="s">
        <v>1082</v>
      </c>
      <c r="C24" s="55" t="s">
        <v>1083</v>
      </c>
      <c r="D24" s="55" t="s">
        <v>1084</v>
      </c>
      <c r="E24" s="55" t="s">
        <v>1085</v>
      </c>
      <c r="F24" s="55" t="s">
        <v>1607</v>
      </c>
      <c r="G24" s="55" t="s">
        <v>1608</v>
      </c>
      <c r="H24" s="55" t="s">
        <v>1609</v>
      </c>
      <c r="I24" s="55" t="s">
        <v>1610</v>
      </c>
      <c r="J24" s="55" t="s">
        <v>1088</v>
      </c>
      <c r="K24" s="55" t="s">
        <v>1089</v>
      </c>
      <c r="L24" s="55" t="s">
        <v>1611</v>
      </c>
      <c r="M24" s="55" t="s">
        <v>978</v>
      </c>
    </row>
    <row r="25" spans="1:13" ht="62.65" customHeight="1">
      <c r="A25" s="47">
        <v>16</v>
      </c>
      <c r="B25" s="54" t="s">
        <v>1090</v>
      </c>
      <c r="C25" s="54" t="s">
        <v>1091</v>
      </c>
      <c r="D25" s="54" t="s">
        <v>1092</v>
      </c>
      <c r="E25" s="54" t="s">
        <v>1093</v>
      </c>
      <c r="F25" s="54" t="s">
        <v>1612</v>
      </c>
      <c r="G25" s="54" t="s">
        <v>1613</v>
      </c>
      <c r="H25" s="54" t="s">
        <v>1614</v>
      </c>
      <c r="I25" s="54" t="s">
        <v>1615</v>
      </c>
      <c r="J25" s="54" t="s">
        <v>1096</v>
      </c>
      <c r="K25" s="54" t="s">
        <v>1097</v>
      </c>
      <c r="L25" s="54" t="s">
        <v>1616</v>
      </c>
      <c r="M25" s="54" t="s">
        <v>978</v>
      </c>
    </row>
  </sheetData>
  <mergeCells count="7">
    <mergeCell ref="B6:M6"/>
    <mergeCell ref="B7:M7"/>
    <mergeCell ref="A1:M1"/>
    <mergeCell ref="A2:M2"/>
    <mergeCell ref="B3:M3"/>
    <mergeCell ref="B4:M4"/>
    <mergeCell ref="B5:M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7"/>
  <sheetViews>
    <sheetView workbookViewId="0">
      <selection sqref="A1:E1"/>
    </sheetView>
  </sheetViews>
  <sheetFormatPr defaultRowHeight="14"/>
  <cols>
    <col min="1" max="1" width="6" customWidth="1"/>
    <col min="2" max="2" width="28" customWidth="1"/>
    <col min="3" max="3" width="62" customWidth="1"/>
    <col min="4" max="4" width="24" customWidth="1"/>
    <col min="5" max="5" width="52" customWidth="1"/>
  </cols>
  <sheetData>
    <row r="1" spans="1:5" ht="18.649999999999999" customHeight="1">
      <c r="A1" s="60" t="s">
        <v>1617</v>
      </c>
      <c r="B1" s="60"/>
      <c r="C1" s="60"/>
      <c r="D1" s="60"/>
      <c r="E1" s="60"/>
    </row>
    <row r="2" spans="1:5" ht="17.399999999999999" customHeight="1">
      <c r="A2" s="61" t="s">
        <v>1618</v>
      </c>
      <c r="B2" s="61"/>
      <c r="C2" s="61"/>
      <c r="D2" s="61"/>
      <c r="E2" s="61"/>
    </row>
    <row r="4" spans="1:5">
      <c r="A4" s="7" t="s">
        <v>1619</v>
      </c>
      <c r="B4" s="7" t="s">
        <v>1620</v>
      </c>
      <c r="C4" s="7" t="s">
        <v>1621</v>
      </c>
      <c r="D4" s="7" t="s">
        <v>1622</v>
      </c>
      <c r="E4" s="7" t="s">
        <v>1623</v>
      </c>
    </row>
    <row r="5" spans="1:5">
      <c r="A5" s="3">
        <v>1</v>
      </c>
      <c r="B5" s="3" t="s">
        <v>1624</v>
      </c>
      <c r="C5" s="3" t="s">
        <v>1625</v>
      </c>
      <c r="D5" s="3" t="s">
        <v>1626</v>
      </c>
      <c r="E5" s="3" t="s">
        <v>1627</v>
      </c>
    </row>
    <row r="6" spans="1:5" ht="25">
      <c r="A6" s="3">
        <v>2</v>
      </c>
      <c r="B6" s="3" t="s">
        <v>1628</v>
      </c>
      <c r="C6" s="3" t="s">
        <v>1629</v>
      </c>
      <c r="D6" s="3" t="s">
        <v>1630</v>
      </c>
      <c r="E6" s="3" t="s">
        <v>1631</v>
      </c>
    </row>
    <row r="7" spans="1:5" ht="25">
      <c r="A7" s="3">
        <v>3</v>
      </c>
      <c r="B7" s="3" t="s">
        <v>1632</v>
      </c>
      <c r="C7" s="3" t="s">
        <v>1633</v>
      </c>
      <c r="D7" s="3" t="s">
        <v>1634</v>
      </c>
      <c r="E7" s="3" t="s">
        <v>1631</v>
      </c>
    </row>
    <row r="8" spans="1:5" ht="25">
      <c r="A8" s="3">
        <v>4</v>
      </c>
      <c r="B8" s="3" t="s">
        <v>1635</v>
      </c>
      <c r="C8" s="3" t="s">
        <v>1636</v>
      </c>
      <c r="D8" s="3" t="s">
        <v>1637</v>
      </c>
      <c r="E8" s="3" t="s">
        <v>1631</v>
      </c>
    </row>
    <row r="9" spans="1:5" ht="25">
      <c r="A9" s="3">
        <v>5</v>
      </c>
      <c r="B9" s="3" t="s">
        <v>1638</v>
      </c>
      <c r="C9" s="3" t="s">
        <v>1639</v>
      </c>
      <c r="D9" s="3" t="s">
        <v>1640</v>
      </c>
      <c r="E9" s="3" t="s">
        <v>1631</v>
      </c>
    </row>
    <row r="10" spans="1:5" ht="25">
      <c r="A10" s="3">
        <v>6</v>
      </c>
      <c r="B10" s="3" t="s">
        <v>1641</v>
      </c>
      <c r="C10" s="3" t="s">
        <v>1642</v>
      </c>
      <c r="D10" s="3" t="s">
        <v>1643</v>
      </c>
      <c r="E10" s="3" t="s">
        <v>1631</v>
      </c>
    </row>
    <row r="11" spans="1:5" ht="25">
      <c r="A11" s="3">
        <v>7</v>
      </c>
      <c r="B11" s="3" t="s">
        <v>1644</v>
      </c>
      <c r="C11" s="3" t="s">
        <v>1645</v>
      </c>
      <c r="D11" s="3" t="s">
        <v>1646</v>
      </c>
      <c r="E11" s="3" t="s">
        <v>1631</v>
      </c>
    </row>
    <row r="12" spans="1:5" ht="25">
      <c r="A12" s="3">
        <v>8</v>
      </c>
      <c r="B12" s="3" t="s">
        <v>1647</v>
      </c>
      <c r="C12" s="3" t="s">
        <v>1648</v>
      </c>
      <c r="D12" s="3" t="s">
        <v>1649</v>
      </c>
      <c r="E12" s="3" t="s">
        <v>1631</v>
      </c>
    </row>
    <row r="13" spans="1:5" ht="25">
      <c r="A13" s="3">
        <v>9</v>
      </c>
      <c r="B13" s="3" t="s">
        <v>1650</v>
      </c>
      <c r="C13" s="3" t="s">
        <v>1651</v>
      </c>
      <c r="D13" s="3" t="s">
        <v>1652</v>
      </c>
      <c r="E13" s="3" t="s">
        <v>1631</v>
      </c>
    </row>
    <row r="14" spans="1:5" ht="25">
      <c r="A14" s="3">
        <v>10</v>
      </c>
      <c r="B14" s="3" t="s">
        <v>1653</v>
      </c>
      <c r="C14" s="3" t="s">
        <v>1654</v>
      </c>
      <c r="D14" s="3" t="s">
        <v>1655</v>
      </c>
      <c r="E14" s="3" t="s">
        <v>1631</v>
      </c>
    </row>
    <row r="15" spans="1:5" ht="25">
      <c r="A15" s="3">
        <v>11</v>
      </c>
      <c r="B15" s="3" t="s">
        <v>1656</v>
      </c>
      <c r="C15" s="3" t="s">
        <v>1657</v>
      </c>
      <c r="D15" s="3" t="s">
        <v>1658</v>
      </c>
      <c r="E15" s="3" t="s">
        <v>1631</v>
      </c>
    </row>
    <row r="16" spans="1:5" ht="25">
      <c r="A16" s="3">
        <v>12</v>
      </c>
      <c r="B16" s="3" t="s">
        <v>1659</v>
      </c>
      <c r="C16" s="3" t="s">
        <v>1660</v>
      </c>
      <c r="D16" s="3" t="s">
        <v>1661</v>
      </c>
      <c r="E16" s="3" t="s">
        <v>1631</v>
      </c>
    </row>
    <row r="17" spans="1:5" ht="25">
      <c r="A17" s="3">
        <v>13</v>
      </c>
      <c r="B17" s="3" t="s">
        <v>1662</v>
      </c>
      <c r="C17" s="3" t="s">
        <v>1663</v>
      </c>
      <c r="D17" s="3" t="s">
        <v>1664</v>
      </c>
      <c r="E17" s="3" t="s">
        <v>1631</v>
      </c>
    </row>
    <row r="18" spans="1:5" ht="25">
      <c r="A18" s="3">
        <v>14</v>
      </c>
      <c r="B18" s="3" t="s">
        <v>1665</v>
      </c>
      <c r="C18" s="3" t="s">
        <v>1666</v>
      </c>
      <c r="D18" s="3" t="s">
        <v>1667</v>
      </c>
      <c r="E18" s="3" t="s">
        <v>1631</v>
      </c>
    </row>
    <row r="19" spans="1:5" ht="25">
      <c r="A19" s="3">
        <v>15</v>
      </c>
      <c r="B19" s="3" t="s">
        <v>1668</v>
      </c>
      <c r="C19" s="3" t="s">
        <v>1669</v>
      </c>
      <c r="D19" s="3" t="s">
        <v>1670</v>
      </c>
      <c r="E19" s="3" t="s">
        <v>1631</v>
      </c>
    </row>
    <row r="20" spans="1:5" ht="25">
      <c r="A20" s="3">
        <v>16</v>
      </c>
      <c r="B20" s="3" t="s">
        <v>1671</v>
      </c>
      <c r="C20" s="3" t="s">
        <v>1672</v>
      </c>
      <c r="D20" s="3" t="s">
        <v>1673</v>
      </c>
      <c r="E20" s="3" t="s">
        <v>1631</v>
      </c>
    </row>
    <row r="21" spans="1:5" ht="25">
      <c r="A21" s="3">
        <v>17</v>
      </c>
      <c r="B21" s="3" t="s">
        <v>1674</v>
      </c>
      <c r="C21" s="3" t="s">
        <v>1675</v>
      </c>
      <c r="D21" s="3" t="s">
        <v>1676</v>
      </c>
      <c r="E21" s="3" t="s">
        <v>1631</v>
      </c>
    </row>
    <row r="22" spans="1:5" ht="25">
      <c r="A22" s="3">
        <v>18</v>
      </c>
      <c r="B22" s="3" t="s">
        <v>1677</v>
      </c>
      <c r="C22" s="3" t="s">
        <v>1678</v>
      </c>
      <c r="D22" s="3" t="s">
        <v>1679</v>
      </c>
      <c r="E22" s="3" t="s">
        <v>1631</v>
      </c>
    </row>
    <row r="23" spans="1:5" ht="25">
      <c r="A23" s="3">
        <v>19</v>
      </c>
      <c r="B23" s="3" t="s">
        <v>1680</v>
      </c>
      <c r="C23" s="3" t="s">
        <v>1681</v>
      </c>
      <c r="D23" s="3" t="s">
        <v>1682</v>
      </c>
      <c r="E23" s="3" t="s">
        <v>1631</v>
      </c>
    </row>
    <row r="24" spans="1:5" ht="25">
      <c r="A24" s="3">
        <v>20</v>
      </c>
      <c r="B24" s="3" t="s">
        <v>1683</v>
      </c>
      <c r="C24" s="3" t="s">
        <v>1684</v>
      </c>
      <c r="D24" s="3" t="s">
        <v>1685</v>
      </c>
      <c r="E24" s="3" t="s">
        <v>1631</v>
      </c>
    </row>
    <row r="25" spans="1:5" ht="25">
      <c r="A25" s="3">
        <v>21</v>
      </c>
      <c r="B25" s="3" t="s">
        <v>1686</v>
      </c>
      <c r="C25" s="3" t="s">
        <v>1687</v>
      </c>
      <c r="D25" s="3" t="s">
        <v>1688</v>
      </c>
      <c r="E25" s="3" t="s">
        <v>1631</v>
      </c>
    </row>
    <row r="26" spans="1:5" ht="25">
      <c r="A26" s="3">
        <v>22</v>
      </c>
      <c r="B26" s="3" t="s">
        <v>1689</v>
      </c>
      <c r="C26" s="3" t="s">
        <v>1690</v>
      </c>
      <c r="D26" s="3" t="s">
        <v>1691</v>
      </c>
      <c r="E26" s="3" t="s">
        <v>1631</v>
      </c>
    </row>
    <row r="27" spans="1:5" ht="25">
      <c r="A27" s="3">
        <v>23</v>
      </c>
      <c r="B27" s="3" t="s">
        <v>1692</v>
      </c>
      <c r="C27" s="3" t="s">
        <v>1693</v>
      </c>
      <c r="D27" s="3" t="s">
        <v>1694</v>
      </c>
      <c r="E27" s="3" t="s">
        <v>1695</v>
      </c>
    </row>
  </sheetData>
  <mergeCells count="2">
    <mergeCell ref="A1:E1"/>
    <mergeCell ref="A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8"/>
  <sheetViews>
    <sheetView workbookViewId="0">
      <selection sqref="A1:K1"/>
    </sheetView>
  </sheetViews>
  <sheetFormatPr defaultRowHeight="14"/>
  <cols>
    <col min="1" max="1" width="10" customWidth="1"/>
    <col min="2" max="2" width="9" customWidth="1"/>
    <col min="3" max="3" width="36" customWidth="1"/>
    <col min="4" max="11" width="39" customWidth="1"/>
  </cols>
  <sheetData>
    <row r="1" spans="1:11" ht="24" customHeight="1">
      <c r="A1" s="65" t="s">
        <v>1696</v>
      </c>
      <c r="B1" s="65"/>
      <c r="C1" s="65"/>
      <c r="D1" s="65"/>
      <c r="E1" s="65"/>
      <c r="F1" s="65"/>
      <c r="G1" s="65"/>
      <c r="H1" s="65"/>
      <c r="I1" s="65"/>
      <c r="J1" s="65"/>
      <c r="K1" s="65"/>
    </row>
    <row r="2" spans="1:11" ht="24" customHeight="1">
      <c r="A2" s="71" t="s">
        <v>1697</v>
      </c>
      <c r="B2" s="71"/>
      <c r="C2" s="71"/>
      <c r="D2" s="71"/>
      <c r="E2" s="71"/>
      <c r="F2" s="71"/>
      <c r="G2" s="71"/>
      <c r="H2" s="71"/>
      <c r="I2" s="71"/>
      <c r="J2" s="71"/>
      <c r="K2" s="71"/>
    </row>
    <row r="4" spans="1:11" ht="24.65" customHeight="1">
      <c r="A4" s="58" t="s">
        <v>142</v>
      </c>
      <c r="B4" s="58" t="s">
        <v>321</v>
      </c>
      <c r="C4" s="58" t="s">
        <v>1698</v>
      </c>
      <c r="D4" s="58" t="s">
        <v>1699</v>
      </c>
      <c r="E4" s="58" t="s">
        <v>1700</v>
      </c>
      <c r="F4" s="58" t="s">
        <v>1701</v>
      </c>
      <c r="G4" s="58" t="s">
        <v>1702</v>
      </c>
      <c r="H4" s="58" t="s">
        <v>1703</v>
      </c>
      <c r="I4" s="58" t="s">
        <v>1704</v>
      </c>
      <c r="J4" s="58" t="s">
        <v>1705</v>
      </c>
      <c r="K4" s="58" t="s">
        <v>1706</v>
      </c>
    </row>
    <row r="5" spans="1:11" ht="48.65" customHeight="1">
      <c r="A5" s="35" t="s">
        <v>19</v>
      </c>
      <c r="B5" s="35">
        <v>7</v>
      </c>
      <c r="C5" s="35" t="s">
        <v>380</v>
      </c>
      <c r="D5" s="35" t="s">
        <v>1707</v>
      </c>
      <c r="E5" s="35" t="s">
        <v>383</v>
      </c>
      <c r="F5" s="35" t="s">
        <v>384</v>
      </c>
      <c r="G5" s="35" t="s">
        <v>385</v>
      </c>
      <c r="H5" s="35" t="s">
        <v>386</v>
      </c>
      <c r="I5" s="35" t="s">
        <v>339</v>
      </c>
      <c r="J5" s="35"/>
      <c r="K5" s="35"/>
    </row>
    <row r="6" spans="1:11" ht="48.65" customHeight="1">
      <c r="A6" s="37" t="s">
        <v>19</v>
      </c>
      <c r="B6" s="37">
        <v>12</v>
      </c>
      <c r="C6" s="37" t="s">
        <v>419</v>
      </c>
      <c r="D6" s="37" t="s">
        <v>1708</v>
      </c>
      <c r="E6" s="37" t="s">
        <v>422</v>
      </c>
      <c r="F6" s="37" t="s">
        <v>423</v>
      </c>
      <c r="G6" s="37" t="s">
        <v>424</v>
      </c>
      <c r="H6" s="37" t="s">
        <v>425</v>
      </c>
      <c r="I6" s="37" t="s">
        <v>339</v>
      </c>
      <c r="J6" s="37"/>
      <c r="K6" s="37"/>
    </row>
    <row r="7" spans="1:11" ht="48.65" customHeight="1">
      <c r="A7" s="31" t="s">
        <v>19</v>
      </c>
      <c r="B7" s="31">
        <v>16</v>
      </c>
      <c r="C7" s="31" t="s">
        <v>450</v>
      </c>
      <c r="D7" s="31" t="s">
        <v>1709</v>
      </c>
      <c r="E7" s="31" t="s">
        <v>453</v>
      </c>
      <c r="F7" s="31" t="s">
        <v>454</v>
      </c>
      <c r="G7" s="31" t="s">
        <v>455</v>
      </c>
      <c r="H7" s="31" t="s">
        <v>456</v>
      </c>
      <c r="I7" s="31" t="s">
        <v>339</v>
      </c>
      <c r="J7" s="31"/>
      <c r="K7" s="31"/>
    </row>
    <row r="8" spans="1:11" ht="48.65" customHeight="1">
      <c r="A8" s="18" t="s">
        <v>27</v>
      </c>
      <c r="B8" s="18">
        <v>6</v>
      </c>
      <c r="C8" s="18" t="s">
        <v>499</v>
      </c>
      <c r="D8" s="18" t="s">
        <v>1710</v>
      </c>
      <c r="E8" s="18" t="s">
        <v>502</v>
      </c>
      <c r="F8" s="18" t="s">
        <v>503</v>
      </c>
      <c r="G8" s="18" t="s">
        <v>504</v>
      </c>
      <c r="H8" s="18" t="s">
        <v>505</v>
      </c>
      <c r="I8" s="18" t="s">
        <v>465</v>
      </c>
      <c r="J8" s="18"/>
      <c r="K8" s="18"/>
    </row>
    <row r="9" spans="1:11" ht="48.65" customHeight="1">
      <c r="A9" s="35" t="s">
        <v>27</v>
      </c>
      <c r="B9" s="35">
        <v>12</v>
      </c>
      <c r="C9" s="35" t="s">
        <v>547</v>
      </c>
      <c r="D9" s="35" t="s">
        <v>1711</v>
      </c>
      <c r="E9" s="35" t="s">
        <v>550</v>
      </c>
      <c r="F9" s="35" t="s">
        <v>551</v>
      </c>
      <c r="G9" s="35" t="s">
        <v>552</v>
      </c>
      <c r="H9" s="35" t="s">
        <v>553</v>
      </c>
      <c r="I9" s="35" t="s">
        <v>514</v>
      </c>
      <c r="J9" s="35"/>
      <c r="K9" s="35"/>
    </row>
    <row r="10" spans="1:11" ht="48.65" customHeight="1">
      <c r="A10" s="37" t="s">
        <v>27</v>
      </c>
      <c r="B10" s="37">
        <v>16</v>
      </c>
      <c r="C10" s="37" t="s">
        <v>579</v>
      </c>
      <c r="D10" s="37" t="s">
        <v>1712</v>
      </c>
      <c r="E10" s="37" t="s">
        <v>582</v>
      </c>
      <c r="F10" s="37" t="s">
        <v>583</v>
      </c>
      <c r="G10" s="37" t="s">
        <v>584</v>
      </c>
      <c r="H10" s="37" t="s">
        <v>585</v>
      </c>
      <c r="I10" s="37" t="s">
        <v>465</v>
      </c>
      <c r="J10" s="37"/>
      <c r="K10" s="37"/>
    </row>
    <row r="11" spans="1:11" ht="48.65" customHeight="1">
      <c r="A11" s="31" t="s">
        <v>35</v>
      </c>
      <c r="B11" s="31">
        <v>5</v>
      </c>
      <c r="C11" s="31" t="s">
        <v>618</v>
      </c>
      <c r="D11" s="31" t="s">
        <v>1713</v>
      </c>
      <c r="E11" s="31" t="s">
        <v>621</v>
      </c>
      <c r="F11" s="31" t="s">
        <v>622</v>
      </c>
      <c r="G11" s="31" t="s">
        <v>623</v>
      </c>
      <c r="H11" s="31" t="s">
        <v>624</v>
      </c>
      <c r="I11" s="31" t="s">
        <v>594</v>
      </c>
      <c r="J11" s="31"/>
      <c r="K11" s="31"/>
    </row>
    <row r="12" spans="1:11" ht="48.65" customHeight="1">
      <c r="A12" s="18" t="s">
        <v>35</v>
      </c>
      <c r="B12" s="18">
        <v>13</v>
      </c>
      <c r="C12" s="18" t="s">
        <v>682</v>
      </c>
      <c r="D12" s="18" t="s">
        <v>1714</v>
      </c>
      <c r="E12" s="18" t="s">
        <v>685</v>
      </c>
      <c r="F12" s="18" t="s">
        <v>686</v>
      </c>
      <c r="G12" s="18" t="s">
        <v>687</v>
      </c>
      <c r="H12" s="18" t="s">
        <v>688</v>
      </c>
      <c r="I12" s="18" t="s">
        <v>594</v>
      </c>
      <c r="J12" s="18"/>
      <c r="K12" s="18"/>
    </row>
    <row r="13" spans="1:11" ht="48.65" customHeight="1">
      <c r="A13" s="35" t="s">
        <v>35</v>
      </c>
      <c r="B13" s="35">
        <v>16</v>
      </c>
      <c r="C13" s="35" t="s">
        <v>706</v>
      </c>
      <c r="D13" s="35" t="s">
        <v>1715</v>
      </c>
      <c r="E13" s="35" t="s">
        <v>709</v>
      </c>
      <c r="F13" s="35" t="s">
        <v>710</v>
      </c>
      <c r="G13" s="35" t="s">
        <v>711</v>
      </c>
      <c r="H13" s="35" t="s">
        <v>712</v>
      </c>
      <c r="I13" s="35" t="s">
        <v>594</v>
      </c>
      <c r="J13" s="35"/>
      <c r="K13" s="35"/>
    </row>
    <row r="14" spans="1:11" ht="48.65" customHeight="1">
      <c r="A14" s="37" t="s">
        <v>43</v>
      </c>
      <c r="B14" s="37">
        <v>6</v>
      </c>
      <c r="C14" s="37" t="s">
        <v>754</v>
      </c>
      <c r="D14" s="37" t="s">
        <v>1716</v>
      </c>
      <c r="E14" s="37" t="s">
        <v>757</v>
      </c>
      <c r="F14" s="37" t="s">
        <v>758</v>
      </c>
      <c r="G14" s="37" t="s">
        <v>759</v>
      </c>
      <c r="H14" s="37" t="s">
        <v>760</v>
      </c>
      <c r="I14" s="37" t="s">
        <v>721</v>
      </c>
      <c r="J14" s="37"/>
      <c r="K14" s="37"/>
    </row>
    <row r="15" spans="1:11" ht="48.65" customHeight="1">
      <c r="A15" s="31" t="s">
        <v>43</v>
      </c>
      <c r="B15" s="31">
        <v>10</v>
      </c>
      <c r="C15" s="31" t="s">
        <v>786</v>
      </c>
      <c r="D15" s="31" t="s">
        <v>1717</v>
      </c>
      <c r="E15" s="31" t="s">
        <v>789</v>
      </c>
      <c r="F15" s="31" t="s">
        <v>790</v>
      </c>
      <c r="G15" s="31" t="s">
        <v>791</v>
      </c>
      <c r="H15" s="31" t="s">
        <v>792</v>
      </c>
      <c r="I15" s="31" t="s">
        <v>721</v>
      </c>
      <c r="J15" s="31"/>
      <c r="K15" s="31"/>
    </row>
    <row r="16" spans="1:11" ht="48.65" customHeight="1">
      <c r="A16" s="18" t="s">
        <v>43</v>
      </c>
      <c r="B16" s="18">
        <v>16</v>
      </c>
      <c r="C16" s="18" t="s">
        <v>835</v>
      </c>
      <c r="D16" s="18" t="s">
        <v>1718</v>
      </c>
      <c r="E16" s="18" t="s">
        <v>838</v>
      </c>
      <c r="F16" s="18" t="s">
        <v>839</v>
      </c>
      <c r="G16" s="18" t="s">
        <v>840</v>
      </c>
      <c r="H16" s="18" t="s">
        <v>841</v>
      </c>
      <c r="I16" s="18" t="s">
        <v>721</v>
      </c>
      <c r="J16" s="18"/>
      <c r="K16" s="18"/>
    </row>
    <row r="17" spans="1:11" ht="48.65" customHeight="1">
      <c r="A17" s="35" t="s">
        <v>50</v>
      </c>
      <c r="B17" s="35">
        <v>5</v>
      </c>
      <c r="C17" s="35" t="s">
        <v>876</v>
      </c>
      <c r="D17" s="35" t="s">
        <v>1719</v>
      </c>
      <c r="E17" s="35" t="s">
        <v>879</v>
      </c>
      <c r="F17" s="35" t="s">
        <v>880</v>
      </c>
      <c r="G17" s="35" t="s">
        <v>881</v>
      </c>
      <c r="H17" s="35" t="s">
        <v>882</v>
      </c>
      <c r="I17" s="35" t="s">
        <v>850</v>
      </c>
      <c r="J17" s="35"/>
      <c r="K17" s="35"/>
    </row>
    <row r="18" spans="1:11" ht="48.65" customHeight="1">
      <c r="A18" s="37" t="s">
        <v>50</v>
      </c>
      <c r="B18" s="37">
        <v>10</v>
      </c>
      <c r="C18" s="37" t="s">
        <v>915</v>
      </c>
      <c r="D18" s="37" t="s">
        <v>1720</v>
      </c>
      <c r="E18" s="37" t="s">
        <v>918</v>
      </c>
      <c r="F18" s="37" t="s">
        <v>919</v>
      </c>
      <c r="G18" s="37" t="s">
        <v>920</v>
      </c>
      <c r="H18" s="37" t="s">
        <v>921</v>
      </c>
      <c r="I18" s="37" t="s">
        <v>850</v>
      </c>
      <c r="J18" s="37"/>
      <c r="K18" s="37"/>
    </row>
    <row r="19" spans="1:11" ht="48.65" customHeight="1">
      <c r="A19" s="31" t="s">
        <v>50</v>
      </c>
      <c r="B19" s="31">
        <v>16</v>
      </c>
      <c r="C19" s="31" t="s">
        <v>963</v>
      </c>
      <c r="D19" s="31" t="s">
        <v>1721</v>
      </c>
      <c r="E19" s="31" t="s">
        <v>966</v>
      </c>
      <c r="F19" s="31" t="s">
        <v>967</v>
      </c>
      <c r="G19" s="31" t="s">
        <v>968</v>
      </c>
      <c r="H19" s="31" t="s">
        <v>969</v>
      </c>
      <c r="I19" s="31" t="s">
        <v>850</v>
      </c>
      <c r="J19" s="31"/>
      <c r="K19" s="31"/>
    </row>
    <row r="20" spans="1:11" ht="48.65" customHeight="1">
      <c r="A20" s="18" t="s">
        <v>58</v>
      </c>
      <c r="B20" s="18">
        <v>5</v>
      </c>
      <c r="C20" s="18" t="s">
        <v>1004</v>
      </c>
      <c r="D20" s="18" t="s">
        <v>1722</v>
      </c>
      <c r="E20" s="18" t="s">
        <v>1007</v>
      </c>
      <c r="F20" s="18" t="s">
        <v>1008</v>
      </c>
      <c r="G20" s="18" t="s">
        <v>1009</v>
      </c>
      <c r="H20" s="18" t="s">
        <v>1010</v>
      </c>
      <c r="I20" s="18" t="s">
        <v>978</v>
      </c>
      <c r="J20" s="18"/>
      <c r="K20" s="18"/>
    </row>
    <row r="21" spans="1:11" ht="48.65" customHeight="1">
      <c r="A21" s="35" t="s">
        <v>58</v>
      </c>
      <c r="B21" s="35">
        <v>12</v>
      </c>
      <c r="C21" s="35" t="s">
        <v>1059</v>
      </c>
      <c r="D21" s="35" t="s">
        <v>1723</v>
      </c>
      <c r="E21" s="35" t="s">
        <v>1062</v>
      </c>
      <c r="F21" s="35" t="s">
        <v>1063</v>
      </c>
      <c r="G21" s="35" t="s">
        <v>1064</v>
      </c>
      <c r="H21" s="35" t="s">
        <v>1065</v>
      </c>
      <c r="I21" s="35" t="s">
        <v>978</v>
      </c>
      <c r="J21" s="35"/>
      <c r="K21" s="35"/>
    </row>
    <row r="22" spans="1:11" ht="48.65" customHeight="1">
      <c r="A22" s="37" t="s">
        <v>58</v>
      </c>
      <c r="B22" s="37">
        <v>16</v>
      </c>
      <c r="C22" s="37" t="s">
        <v>1091</v>
      </c>
      <c r="D22" s="37" t="s">
        <v>1724</v>
      </c>
      <c r="E22" s="37" t="s">
        <v>1094</v>
      </c>
      <c r="F22" s="37" t="s">
        <v>1095</v>
      </c>
      <c r="G22" s="37" t="s">
        <v>1096</v>
      </c>
      <c r="H22" s="37" t="s">
        <v>1097</v>
      </c>
      <c r="I22" s="37" t="s">
        <v>978</v>
      </c>
      <c r="J22" s="37"/>
      <c r="K22" s="37"/>
    </row>
    <row r="23" spans="1:11" ht="86.65" customHeight="1">
      <c r="A23" s="31"/>
      <c r="B23" s="31"/>
      <c r="C23" s="31"/>
      <c r="D23" s="31"/>
      <c r="E23" s="31"/>
      <c r="F23" s="31"/>
      <c r="G23" s="31"/>
      <c r="H23" s="31"/>
      <c r="I23" s="31"/>
      <c r="J23" s="31"/>
      <c r="K23" s="31"/>
    </row>
    <row r="24" spans="1:11" ht="86.65" customHeight="1">
      <c r="A24" s="18"/>
      <c r="B24" s="18"/>
      <c r="C24" s="18"/>
      <c r="D24" s="18"/>
      <c r="E24" s="18"/>
      <c r="F24" s="18"/>
      <c r="G24" s="18"/>
      <c r="H24" s="18"/>
      <c r="I24" s="18"/>
      <c r="J24" s="18"/>
      <c r="K24" s="18"/>
    </row>
    <row r="25" spans="1:11" ht="86.65" customHeight="1">
      <c r="A25" s="35"/>
      <c r="B25" s="35"/>
      <c r="C25" s="35"/>
      <c r="D25" s="35"/>
      <c r="E25" s="35"/>
      <c r="F25" s="35"/>
      <c r="G25" s="35"/>
      <c r="H25" s="35"/>
      <c r="I25" s="35"/>
      <c r="J25" s="35"/>
      <c r="K25" s="35"/>
    </row>
    <row r="26" spans="1:11" ht="86.65" customHeight="1">
      <c r="A26" s="37"/>
      <c r="B26" s="37"/>
      <c r="C26" s="37"/>
      <c r="D26" s="37"/>
      <c r="E26" s="37"/>
      <c r="F26" s="37"/>
      <c r="G26" s="37"/>
      <c r="H26" s="37"/>
      <c r="I26" s="37"/>
      <c r="J26" s="37"/>
      <c r="K26" s="37"/>
    </row>
    <row r="27" spans="1:11" ht="86.65" customHeight="1">
      <c r="A27" s="31"/>
      <c r="B27" s="31"/>
      <c r="C27" s="31"/>
      <c r="D27" s="31"/>
      <c r="E27" s="31"/>
      <c r="F27" s="31"/>
      <c r="G27" s="31"/>
      <c r="H27" s="31"/>
      <c r="I27" s="31"/>
      <c r="J27" s="31"/>
      <c r="K27" s="31"/>
    </row>
    <row r="28" spans="1:11" ht="86.65" customHeight="1">
      <c r="A28" s="18"/>
      <c r="B28" s="18"/>
      <c r="C28" s="18"/>
      <c r="D28" s="18"/>
      <c r="E28" s="18"/>
      <c r="F28" s="18"/>
      <c r="G28" s="18"/>
      <c r="H28" s="18"/>
      <c r="I28" s="18"/>
      <c r="J28" s="18"/>
      <c r="K28" s="18"/>
    </row>
  </sheetData>
  <mergeCells count="2">
    <mergeCell ref="A1:K1"/>
    <mergeCell ref="A2: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8"/>
  <sheetViews>
    <sheetView topLeftCell="A5" workbookViewId="0">
      <selection sqref="A1:F1"/>
    </sheetView>
  </sheetViews>
  <sheetFormatPr defaultRowHeight="14"/>
  <cols>
    <col min="1" max="1" width="30" customWidth="1"/>
    <col min="2" max="4" width="36" customWidth="1"/>
    <col min="5" max="5" width="42" customWidth="1"/>
    <col min="6" max="6" width="37" customWidth="1"/>
  </cols>
  <sheetData>
    <row r="1" spans="1:6" ht="25.4" customHeight="1">
      <c r="A1" s="65" t="s">
        <v>1725</v>
      </c>
      <c r="B1" s="65"/>
      <c r="C1" s="65"/>
      <c r="D1" s="65"/>
      <c r="E1" s="65"/>
      <c r="F1" s="65"/>
    </row>
    <row r="2" spans="1:6">
      <c r="A2" s="71" t="s">
        <v>1726</v>
      </c>
      <c r="B2" s="71"/>
      <c r="C2" s="71"/>
      <c r="D2" s="71"/>
      <c r="E2" s="71"/>
      <c r="F2" s="71"/>
    </row>
    <row r="4" spans="1:6" ht="21.4" customHeight="1">
      <c r="A4" s="39" t="s">
        <v>69</v>
      </c>
      <c r="B4" s="39" t="s">
        <v>1727</v>
      </c>
      <c r="C4" s="39" t="s">
        <v>1728</v>
      </c>
      <c r="D4" s="39" t="s">
        <v>1729</v>
      </c>
      <c r="E4" s="39" t="s">
        <v>1730</v>
      </c>
      <c r="F4" s="39" t="s">
        <v>1731</v>
      </c>
    </row>
    <row r="5" spans="1:6" ht="58.65" customHeight="1">
      <c r="A5" s="10" t="s">
        <v>1732</v>
      </c>
      <c r="B5" s="10" t="s">
        <v>1733</v>
      </c>
      <c r="C5" s="10" t="s">
        <v>1734</v>
      </c>
      <c r="D5" s="10" t="s">
        <v>1735</v>
      </c>
      <c r="E5" s="10" t="s">
        <v>1736</v>
      </c>
      <c r="F5" s="10" t="s">
        <v>1737</v>
      </c>
    </row>
    <row r="6" spans="1:6" ht="58.65" customHeight="1">
      <c r="A6" s="10" t="s">
        <v>1738</v>
      </c>
      <c r="B6" s="10" t="s">
        <v>1739</v>
      </c>
      <c r="C6" s="10" t="s">
        <v>1740</v>
      </c>
      <c r="D6" s="10" t="s">
        <v>1741</v>
      </c>
      <c r="E6" s="10" t="s">
        <v>1742</v>
      </c>
      <c r="F6" s="10" t="s">
        <v>1743</v>
      </c>
    </row>
    <row r="7" spans="1:6" ht="58.65" customHeight="1">
      <c r="A7" s="10" t="s">
        <v>1744</v>
      </c>
      <c r="B7" s="10" t="s">
        <v>1745</v>
      </c>
      <c r="C7" s="10" t="s">
        <v>1746</v>
      </c>
      <c r="D7" s="10" t="s">
        <v>1747</v>
      </c>
      <c r="E7" s="10" t="s">
        <v>1748</v>
      </c>
      <c r="F7" s="10" t="s">
        <v>1749</v>
      </c>
    </row>
    <row r="8" spans="1:6" ht="58.65" customHeight="1">
      <c r="A8" s="10" t="s">
        <v>1750</v>
      </c>
      <c r="B8" s="10" t="s">
        <v>1751</v>
      </c>
      <c r="C8" s="10" t="s">
        <v>1752</v>
      </c>
      <c r="D8" s="10" t="s">
        <v>1753</v>
      </c>
      <c r="E8" s="10" t="s">
        <v>1754</v>
      </c>
      <c r="F8" s="10" t="s">
        <v>1755</v>
      </c>
    </row>
    <row r="9" spans="1:6" ht="58.65" customHeight="1">
      <c r="A9" s="10" t="s">
        <v>1756</v>
      </c>
      <c r="B9" s="10" t="s">
        <v>1757</v>
      </c>
      <c r="C9" s="10" t="s">
        <v>1758</v>
      </c>
      <c r="D9" s="10" t="s">
        <v>1759</v>
      </c>
      <c r="E9" s="10" t="s">
        <v>1760</v>
      </c>
      <c r="F9" s="10" t="s">
        <v>1761</v>
      </c>
    </row>
    <row r="11" spans="1:6" ht="20" customHeight="1">
      <c r="A11" s="65" t="s">
        <v>1762</v>
      </c>
      <c r="B11" s="65"/>
      <c r="C11" s="65"/>
      <c r="D11" s="65"/>
      <c r="E11" s="65"/>
      <c r="F11" s="65"/>
    </row>
    <row r="12" spans="1:6" ht="28.65" customHeight="1">
      <c r="A12" s="10" t="s">
        <v>1763</v>
      </c>
      <c r="B12" s="10" t="s">
        <v>1764</v>
      </c>
    </row>
    <row r="13" spans="1:6" ht="28.65" customHeight="1">
      <c r="A13" s="10" t="s">
        <v>1765</v>
      </c>
      <c r="B13" s="10" t="s">
        <v>1766</v>
      </c>
    </row>
    <row r="14" spans="1:6" ht="28.65" customHeight="1">
      <c r="A14" s="10" t="s">
        <v>1767</v>
      </c>
      <c r="B14" s="10" t="s">
        <v>1768</v>
      </c>
    </row>
    <row r="15" spans="1:6" ht="28.65" customHeight="1">
      <c r="A15" s="10" t="s">
        <v>1769</v>
      </c>
      <c r="B15" s="10" t="s">
        <v>1770</v>
      </c>
    </row>
    <row r="16" spans="1:6" ht="28.65" customHeight="1">
      <c r="A16" s="10" t="s">
        <v>1771</v>
      </c>
      <c r="B16" s="10" t="s">
        <v>1772</v>
      </c>
    </row>
    <row r="17" spans="1:6">
      <c r="A17" t="s">
        <v>1773</v>
      </c>
    </row>
    <row r="18" spans="1:6" ht="32" customHeight="1">
      <c r="A18" s="71" t="s">
        <v>1774</v>
      </c>
      <c r="B18" s="71"/>
      <c r="C18" s="71"/>
      <c r="D18" s="71"/>
      <c r="E18" s="71"/>
      <c r="F18" s="71"/>
    </row>
  </sheetData>
  <mergeCells count="4">
    <mergeCell ref="A1:F1"/>
    <mergeCell ref="A2:F2"/>
    <mergeCell ref="A11:F11"/>
    <mergeCell ref="A18:F1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30"/>
  <sheetViews>
    <sheetView workbookViewId="0">
      <selection sqref="A1:N1"/>
    </sheetView>
  </sheetViews>
  <sheetFormatPr defaultRowHeight="14"/>
  <cols>
    <col min="1" max="1" width="8" customWidth="1"/>
    <col min="2" max="2" width="7" customWidth="1"/>
    <col min="3" max="3" width="36" customWidth="1"/>
    <col min="4" max="5" width="15" customWidth="1"/>
    <col min="6" max="10" width="16" customWidth="1"/>
    <col min="11" max="11" width="13" customWidth="1"/>
    <col min="12" max="12" width="15" customWidth="1"/>
    <col min="13" max="14" width="31" customWidth="1"/>
  </cols>
  <sheetData>
    <row r="1" spans="1:14" ht="25.4" customHeight="1">
      <c r="A1" s="65" t="s">
        <v>1775</v>
      </c>
      <c r="B1" s="65"/>
      <c r="C1" s="65"/>
      <c r="D1" s="65"/>
      <c r="E1" s="65"/>
      <c r="F1" s="65"/>
      <c r="G1" s="65"/>
      <c r="H1" s="65"/>
      <c r="I1" s="65"/>
      <c r="J1" s="65"/>
      <c r="K1" s="65"/>
      <c r="L1" s="65"/>
      <c r="M1" s="65"/>
      <c r="N1" s="65"/>
    </row>
    <row r="2" spans="1:14" ht="23.4" customHeight="1">
      <c r="A2" s="71" t="s">
        <v>1776</v>
      </c>
      <c r="B2" s="71"/>
      <c r="C2" s="71"/>
      <c r="D2" s="71"/>
      <c r="E2" s="71"/>
      <c r="F2" s="71"/>
      <c r="G2" s="71"/>
      <c r="H2" s="71"/>
      <c r="I2" s="71"/>
      <c r="J2" s="71"/>
      <c r="K2" s="71"/>
      <c r="L2" s="71"/>
      <c r="M2" s="71"/>
      <c r="N2" s="71"/>
    </row>
    <row r="3" spans="1:14">
      <c r="A3" t="s">
        <v>1777</v>
      </c>
      <c r="C3" t="s">
        <v>1778</v>
      </c>
    </row>
    <row r="4" spans="1:14">
      <c r="A4" t="s">
        <v>1779</v>
      </c>
      <c r="C4" t="s">
        <v>1780</v>
      </c>
    </row>
    <row r="6" spans="1:14" ht="27.4" customHeight="1">
      <c r="A6" s="58" t="s">
        <v>142</v>
      </c>
      <c r="B6" s="58" t="s">
        <v>321</v>
      </c>
      <c r="C6" s="58" t="s">
        <v>1781</v>
      </c>
      <c r="D6" s="58" t="s">
        <v>1782</v>
      </c>
      <c r="E6" s="58" t="s">
        <v>1783</v>
      </c>
      <c r="F6" s="58" t="s">
        <v>1784</v>
      </c>
      <c r="G6" s="58" t="s">
        <v>1785</v>
      </c>
      <c r="H6" s="58" t="s">
        <v>1786</v>
      </c>
      <c r="I6" s="58" t="s">
        <v>1787</v>
      </c>
      <c r="J6" s="58" t="s">
        <v>1788</v>
      </c>
      <c r="K6" s="58" t="s">
        <v>1789</v>
      </c>
      <c r="L6" s="58" t="s">
        <v>1790</v>
      </c>
      <c r="M6" s="58" t="s">
        <v>1791</v>
      </c>
      <c r="N6" s="58" t="s">
        <v>1792</v>
      </c>
    </row>
    <row r="7" spans="1:14" ht="22.65" customHeight="1">
      <c r="A7" s="35" t="s">
        <v>19</v>
      </c>
      <c r="B7" s="35">
        <v>7</v>
      </c>
      <c r="C7" s="35" t="s">
        <v>380</v>
      </c>
      <c r="D7" s="35"/>
      <c r="E7" s="35"/>
      <c r="F7" s="35"/>
      <c r="G7" s="35"/>
      <c r="H7" s="35"/>
      <c r="I7" s="35"/>
      <c r="J7" s="35"/>
      <c r="K7" s="36" t="str">
        <f t="shared" ref="K7:K24" si="0">IF(COUNT(F7:J7)&lt;5,"",SUM(F7:J7))</f>
        <v/>
      </c>
      <c r="L7" s="35" t="str">
        <f t="shared" ref="L7:L24" si="1">IF(K7="","",IF(K7&gt;=12,"Ít hỗ trợ",IF(K7&gt;=8,"Có hỗ trợ","Cần làm lại theo bước")))</f>
        <v/>
      </c>
      <c r="M7" s="35"/>
      <c r="N7" s="35"/>
    </row>
    <row r="8" spans="1:14" ht="22.65" customHeight="1">
      <c r="A8" s="37" t="s">
        <v>19</v>
      </c>
      <c r="B8" s="37">
        <v>12</v>
      </c>
      <c r="C8" s="37" t="s">
        <v>419</v>
      </c>
      <c r="D8" s="37"/>
      <c r="E8" s="37"/>
      <c r="F8" s="37"/>
      <c r="G8" s="37"/>
      <c r="H8" s="37"/>
      <c r="I8" s="37"/>
      <c r="J8" s="37"/>
      <c r="K8" s="38" t="str">
        <f t="shared" si="0"/>
        <v/>
      </c>
      <c r="L8" s="37" t="str">
        <f t="shared" si="1"/>
        <v/>
      </c>
      <c r="M8" s="37"/>
      <c r="N8" s="37"/>
    </row>
    <row r="9" spans="1:14" ht="22.65" customHeight="1">
      <c r="A9" s="31" t="s">
        <v>19</v>
      </c>
      <c r="B9" s="31">
        <v>16</v>
      </c>
      <c r="C9" s="31" t="s">
        <v>450</v>
      </c>
      <c r="D9" s="31"/>
      <c r="E9" s="31"/>
      <c r="F9" s="31"/>
      <c r="G9" s="31"/>
      <c r="H9" s="31"/>
      <c r="I9" s="31"/>
      <c r="J9" s="31"/>
      <c r="K9" s="32" t="str">
        <f t="shared" si="0"/>
        <v/>
      </c>
      <c r="L9" s="31" t="str">
        <f t="shared" si="1"/>
        <v/>
      </c>
      <c r="M9" s="31"/>
      <c r="N9" s="31"/>
    </row>
    <row r="10" spans="1:14" ht="22.65" customHeight="1">
      <c r="A10" s="19" t="s">
        <v>27</v>
      </c>
      <c r="B10" s="19">
        <v>6</v>
      </c>
      <c r="C10" s="19" t="s">
        <v>499</v>
      </c>
      <c r="D10" s="19"/>
      <c r="E10" s="19"/>
      <c r="F10" s="19"/>
      <c r="G10" s="19"/>
      <c r="H10" s="19"/>
      <c r="I10" s="19"/>
      <c r="J10" s="19"/>
      <c r="K10" s="34" t="str">
        <f t="shared" si="0"/>
        <v/>
      </c>
      <c r="L10" s="19" t="str">
        <f t="shared" si="1"/>
        <v/>
      </c>
      <c r="M10" s="19"/>
      <c r="N10" s="19"/>
    </row>
    <row r="11" spans="1:14" ht="22.65" customHeight="1">
      <c r="A11" s="35" t="s">
        <v>27</v>
      </c>
      <c r="B11" s="35">
        <v>12</v>
      </c>
      <c r="C11" s="35" t="s">
        <v>547</v>
      </c>
      <c r="D11" s="35"/>
      <c r="E11" s="35"/>
      <c r="F11" s="35"/>
      <c r="G11" s="35"/>
      <c r="H11" s="35"/>
      <c r="I11" s="35"/>
      <c r="J11" s="35"/>
      <c r="K11" s="36" t="str">
        <f t="shared" si="0"/>
        <v/>
      </c>
      <c r="L11" s="35" t="str">
        <f t="shared" si="1"/>
        <v/>
      </c>
      <c r="M11" s="35"/>
      <c r="N11" s="35"/>
    </row>
    <row r="12" spans="1:14" ht="22.65" customHeight="1">
      <c r="A12" s="37" t="s">
        <v>27</v>
      </c>
      <c r="B12" s="37">
        <v>16</v>
      </c>
      <c r="C12" s="37" t="s">
        <v>579</v>
      </c>
      <c r="D12" s="37"/>
      <c r="E12" s="37"/>
      <c r="F12" s="37"/>
      <c r="G12" s="37"/>
      <c r="H12" s="37"/>
      <c r="I12" s="37"/>
      <c r="J12" s="37"/>
      <c r="K12" s="38" t="str">
        <f t="shared" si="0"/>
        <v/>
      </c>
      <c r="L12" s="37" t="str">
        <f t="shared" si="1"/>
        <v/>
      </c>
      <c r="M12" s="37"/>
      <c r="N12" s="37"/>
    </row>
    <row r="13" spans="1:14" ht="22.65" customHeight="1">
      <c r="A13" s="31" t="s">
        <v>35</v>
      </c>
      <c r="B13" s="31">
        <v>5</v>
      </c>
      <c r="C13" s="31" t="s">
        <v>618</v>
      </c>
      <c r="D13" s="31"/>
      <c r="E13" s="31"/>
      <c r="F13" s="31"/>
      <c r="G13" s="31"/>
      <c r="H13" s="31"/>
      <c r="I13" s="31"/>
      <c r="J13" s="31"/>
      <c r="K13" s="32" t="str">
        <f t="shared" si="0"/>
        <v/>
      </c>
      <c r="L13" s="31" t="str">
        <f t="shared" si="1"/>
        <v/>
      </c>
      <c r="M13" s="31"/>
      <c r="N13" s="31"/>
    </row>
    <row r="14" spans="1:14" ht="22.65" customHeight="1">
      <c r="A14" s="19" t="s">
        <v>35</v>
      </c>
      <c r="B14" s="19">
        <v>13</v>
      </c>
      <c r="C14" s="19" t="s">
        <v>682</v>
      </c>
      <c r="D14" s="19"/>
      <c r="E14" s="19"/>
      <c r="F14" s="19"/>
      <c r="G14" s="19"/>
      <c r="H14" s="19"/>
      <c r="I14" s="19"/>
      <c r="J14" s="19"/>
      <c r="K14" s="34" t="str">
        <f t="shared" si="0"/>
        <v/>
      </c>
      <c r="L14" s="19" t="str">
        <f t="shared" si="1"/>
        <v/>
      </c>
      <c r="M14" s="19"/>
      <c r="N14" s="19"/>
    </row>
    <row r="15" spans="1:14" ht="22.65" customHeight="1">
      <c r="A15" s="35" t="s">
        <v>35</v>
      </c>
      <c r="B15" s="35">
        <v>16</v>
      </c>
      <c r="C15" s="35" t="s">
        <v>706</v>
      </c>
      <c r="D15" s="35"/>
      <c r="E15" s="35"/>
      <c r="F15" s="35"/>
      <c r="G15" s="35"/>
      <c r="H15" s="35"/>
      <c r="I15" s="35"/>
      <c r="J15" s="35"/>
      <c r="K15" s="36" t="str">
        <f t="shared" si="0"/>
        <v/>
      </c>
      <c r="L15" s="35" t="str">
        <f t="shared" si="1"/>
        <v/>
      </c>
      <c r="M15" s="35"/>
      <c r="N15" s="35"/>
    </row>
    <row r="16" spans="1:14" ht="22.65" customHeight="1">
      <c r="A16" s="37" t="s">
        <v>43</v>
      </c>
      <c r="B16" s="37">
        <v>6</v>
      </c>
      <c r="C16" s="37" t="s">
        <v>754</v>
      </c>
      <c r="D16" s="37"/>
      <c r="E16" s="37"/>
      <c r="F16" s="37"/>
      <c r="G16" s="37"/>
      <c r="H16" s="37"/>
      <c r="I16" s="37"/>
      <c r="J16" s="37"/>
      <c r="K16" s="38" t="str">
        <f t="shared" si="0"/>
        <v/>
      </c>
      <c r="L16" s="37" t="str">
        <f t="shared" si="1"/>
        <v/>
      </c>
      <c r="M16" s="37"/>
      <c r="N16" s="37"/>
    </row>
    <row r="17" spans="1:14" ht="22.65" customHeight="1">
      <c r="A17" s="31" t="s">
        <v>43</v>
      </c>
      <c r="B17" s="31">
        <v>10</v>
      </c>
      <c r="C17" s="31" t="s">
        <v>786</v>
      </c>
      <c r="D17" s="31"/>
      <c r="E17" s="31"/>
      <c r="F17" s="31"/>
      <c r="G17" s="31"/>
      <c r="H17" s="31"/>
      <c r="I17" s="31"/>
      <c r="J17" s="31"/>
      <c r="K17" s="32" t="str">
        <f t="shared" si="0"/>
        <v/>
      </c>
      <c r="L17" s="31" t="str">
        <f t="shared" si="1"/>
        <v/>
      </c>
      <c r="M17" s="31"/>
      <c r="N17" s="31"/>
    </row>
    <row r="18" spans="1:14" ht="22.65" customHeight="1">
      <c r="A18" s="19" t="s">
        <v>43</v>
      </c>
      <c r="B18" s="19">
        <v>16</v>
      </c>
      <c r="C18" s="19" t="s">
        <v>835</v>
      </c>
      <c r="D18" s="19"/>
      <c r="E18" s="19"/>
      <c r="F18" s="19"/>
      <c r="G18" s="19"/>
      <c r="H18" s="19"/>
      <c r="I18" s="19"/>
      <c r="J18" s="19"/>
      <c r="K18" s="34" t="str">
        <f t="shared" si="0"/>
        <v/>
      </c>
      <c r="L18" s="19" t="str">
        <f t="shared" si="1"/>
        <v/>
      </c>
      <c r="M18" s="19"/>
      <c r="N18" s="19"/>
    </row>
    <row r="19" spans="1:14" ht="22.65" customHeight="1">
      <c r="A19" s="35" t="s">
        <v>50</v>
      </c>
      <c r="B19" s="35">
        <v>5</v>
      </c>
      <c r="C19" s="35" t="s">
        <v>876</v>
      </c>
      <c r="D19" s="35"/>
      <c r="E19" s="35"/>
      <c r="F19" s="35"/>
      <c r="G19" s="35"/>
      <c r="H19" s="35"/>
      <c r="I19" s="35"/>
      <c r="J19" s="35"/>
      <c r="K19" s="36" t="str">
        <f t="shared" si="0"/>
        <v/>
      </c>
      <c r="L19" s="35" t="str">
        <f t="shared" si="1"/>
        <v/>
      </c>
      <c r="M19" s="35"/>
      <c r="N19" s="35"/>
    </row>
    <row r="20" spans="1:14" ht="22.65" customHeight="1">
      <c r="A20" s="37" t="s">
        <v>50</v>
      </c>
      <c r="B20" s="37">
        <v>10</v>
      </c>
      <c r="C20" s="37" t="s">
        <v>915</v>
      </c>
      <c r="D20" s="37"/>
      <c r="E20" s="37"/>
      <c r="F20" s="37"/>
      <c r="G20" s="37"/>
      <c r="H20" s="37"/>
      <c r="I20" s="37"/>
      <c r="J20" s="37"/>
      <c r="K20" s="38" t="str">
        <f t="shared" si="0"/>
        <v/>
      </c>
      <c r="L20" s="37" t="str">
        <f t="shared" si="1"/>
        <v/>
      </c>
      <c r="M20" s="37"/>
      <c r="N20" s="37"/>
    </row>
    <row r="21" spans="1:14" ht="22.65" customHeight="1">
      <c r="A21" s="31" t="s">
        <v>50</v>
      </c>
      <c r="B21" s="31">
        <v>16</v>
      </c>
      <c r="C21" s="31" t="s">
        <v>963</v>
      </c>
      <c r="D21" s="31"/>
      <c r="E21" s="31"/>
      <c r="F21" s="31"/>
      <c r="G21" s="31"/>
      <c r="H21" s="31"/>
      <c r="I21" s="31"/>
      <c r="J21" s="31"/>
      <c r="K21" s="32" t="str">
        <f t="shared" si="0"/>
        <v/>
      </c>
      <c r="L21" s="31" t="str">
        <f t="shared" si="1"/>
        <v/>
      </c>
      <c r="M21" s="31"/>
      <c r="N21" s="31"/>
    </row>
    <row r="22" spans="1:14" ht="22.65" customHeight="1">
      <c r="A22" s="19" t="s">
        <v>58</v>
      </c>
      <c r="B22" s="19">
        <v>5</v>
      </c>
      <c r="C22" s="19" t="s">
        <v>1004</v>
      </c>
      <c r="D22" s="19"/>
      <c r="E22" s="19"/>
      <c r="F22" s="19"/>
      <c r="G22" s="19"/>
      <c r="H22" s="19"/>
      <c r="I22" s="19"/>
      <c r="J22" s="19"/>
      <c r="K22" s="34" t="str">
        <f t="shared" si="0"/>
        <v/>
      </c>
      <c r="L22" s="19" t="str">
        <f t="shared" si="1"/>
        <v/>
      </c>
      <c r="M22" s="19"/>
      <c r="N22" s="19"/>
    </row>
    <row r="23" spans="1:14" ht="22.65" customHeight="1">
      <c r="A23" s="35" t="s">
        <v>58</v>
      </c>
      <c r="B23" s="35">
        <v>12</v>
      </c>
      <c r="C23" s="35" t="s">
        <v>1059</v>
      </c>
      <c r="D23" s="35"/>
      <c r="E23" s="35"/>
      <c r="F23" s="35"/>
      <c r="G23" s="35"/>
      <c r="H23" s="35"/>
      <c r="I23" s="35"/>
      <c r="J23" s="35"/>
      <c r="K23" s="36" t="str">
        <f t="shared" si="0"/>
        <v/>
      </c>
      <c r="L23" s="35" t="str">
        <f t="shared" si="1"/>
        <v/>
      </c>
      <c r="M23" s="35"/>
      <c r="N23" s="35"/>
    </row>
    <row r="24" spans="1:14" ht="22.65" customHeight="1">
      <c r="A24" s="37" t="s">
        <v>58</v>
      </c>
      <c r="B24" s="37">
        <v>16</v>
      </c>
      <c r="C24" s="37" t="s">
        <v>1091</v>
      </c>
      <c r="D24" s="37"/>
      <c r="E24" s="37"/>
      <c r="F24" s="37"/>
      <c r="G24" s="37"/>
      <c r="H24" s="37"/>
      <c r="I24" s="37"/>
      <c r="J24" s="37"/>
      <c r="K24" s="38" t="str">
        <f t="shared" si="0"/>
        <v/>
      </c>
      <c r="L24" s="37" t="str">
        <f t="shared" si="1"/>
        <v/>
      </c>
      <c r="M24" s="37"/>
      <c r="N24" s="37"/>
    </row>
    <row r="25" spans="1:14" ht="36.65" customHeight="1">
      <c r="A25" s="31"/>
      <c r="B25" s="31"/>
      <c r="C25" s="31"/>
      <c r="D25" s="31"/>
      <c r="E25" s="31"/>
      <c r="F25" s="31"/>
      <c r="G25" s="31"/>
      <c r="H25" s="31"/>
      <c r="I25" s="31"/>
      <c r="J25" s="31"/>
      <c r="K25" s="32"/>
      <c r="L25" s="31"/>
      <c r="M25" s="31"/>
      <c r="N25" s="31"/>
    </row>
    <row r="26" spans="1:14" ht="36.65" customHeight="1">
      <c r="A26" s="19"/>
      <c r="B26" s="19"/>
      <c r="C26" s="19"/>
      <c r="D26" s="19"/>
      <c r="E26" s="19"/>
      <c r="F26" s="19"/>
      <c r="G26" s="19"/>
      <c r="H26" s="19"/>
      <c r="I26" s="19"/>
      <c r="J26" s="19"/>
      <c r="K26" s="34"/>
      <c r="L26" s="19"/>
      <c r="M26" s="19"/>
      <c r="N26" s="19"/>
    </row>
    <row r="27" spans="1:14" ht="36.65" customHeight="1">
      <c r="A27" s="35"/>
      <c r="B27" s="35"/>
      <c r="C27" s="35"/>
      <c r="D27" s="35"/>
      <c r="E27" s="35"/>
      <c r="F27" s="35"/>
      <c r="G27" s="35"/>
      <c r="H27" s="35"/>
      <c r="I27" s="35"/>
      <c r="J27" s="35"/>
      <c r="K27" s="36"/>
      <c r="L27" s="35"/>
      <c r="M27" s="35"/>
      <c r="N27" s="35"/>
    </row>
    <row r="28" spans="1:14" ht="36.65" customHeight="1">
      <c r="A28" s="37"/>
      <c r="B28" s="37"/>
      <c r="C28" s="37"/>
      <c r="D28" s="37"/>
      <c r="E28" s="37"/>
      <c r="F28" s="37"/>
      <c r="G28" s="37"/>
      <c r="H28" s="37"/>
      <c r="I28" s="37"/>
      <c r="J28" s="37"/>
      <c r="K28" s="38"/>
      <c r="L28" s="37"/>
      <c r="M28" s="37"/>
      <c r="N28" s="37"/>
    </row>
    <row r="29" spans="1:14" ht="36.65" customHeight="1">
      <c r="A29" s="31"/>
      <c r="B29" s="31"/>
      <c r="C29" s="31"/>
      <c r="D29" s="31"/>
      <c r="E29" s="31"/>
      <c r="F29" s="31"/>
      <c r="G29" s="31"/>
      <c r="H29" s="31"/>
      <c r="I29" s="31"/>
      <c r="J29" s="31"/>
      <c r="K29" s="32"/>
      <c r="L29" s="31"/>
      <c r="M29" s="31"/>
      <c r="N29" s="31"/>
    </row>
    <row r="30" spans="1:14" ht="36.65" customHeight="1">
      <c r="A30" s="19"/>
      <c r="B30" s="19"/>
      <c r="C30" s="19"/>
      <c r="D30" s="19"/>
      <c r="E30" s="19"/>
      <c r="F30" s="19"/>
      <c r="G30" s="19"/>
      <c r="H30" s="19"/>
      <c r="I30" s="19"/>
      <c r="J30" s="19"/>
      <c r="K30" s="34"/>
      <c r="L30" s="19"/>
      <c r="M30" s="19"/>
      <c r="N30" s="19"/>
    </row>
  </sheetData>
  <mergeCells count="2">
    <mergeCell ref="A1:N1"/>
    <mergeCell ref="A2:N2"/>
  </mergeCells>
  <conditionalFormatting sqref="L7:L30">
    <cfRule type="expression" dxfId="1" priority="1">
      <formula>L7="Đạt"</formula>
    </cfRule>
    <cfRule type="expression" dxfId="0" priority="2">
      <formula>L7="Cần ôn"</formula>
    </cfRule>
  </conditionalFormatting>
  <dataValidations count="1">
    <dataValidation type="list" sqref="F7:J30" xr:uid="{00000000-0002-0000-0D00-000000000000}">
      <formula1>"0,1,2,3"</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00"/>
  <sheetViews>
    <sheetView topLeftCell="A6" workbookViewId="0">
      <selection sqref="A1:I1"/>
    </sheetView>
  </sheetViews>
  <sheetFormatPr defaultRowHeight="14"/>
  <cols>
    <col min="1" max="1" width="10" customWidth="1"/>
    <col min="2" max="2" width="9" customWidth="1"/>
    <col min="3" max="3" width="35" customWidth="1"/>
    <col min="4" max="4" width="36" customWidth="1"/>
    <col min="5" max="5" width="42" customWidth="1"/>
    <col min="6" max="6" width="52" customWidth="1"/>
    <col min="7" max="7" width="42" customWidth="1"/>
    <col min="8" max="8" width="36" customWidth="1"/>
    <col min="9" max="9" width="55" customWidth="1"/>
  </cols>
  <sheetData>
    <row r="1" spans="1:9" ht="25.4" customHeight="1">
      <c r="A1" s="72" t="s">
        <v>1793</v>
      </c>
      <c r="B1" s="72"/>
      <c r="C1" s="72"/>
      <c r="D1" s="72"/>
      <c r="E1" s="72"/>
      <c r="F1" s="72"/>
      <c r="G1" s="72"/>
      <c r="H1" s="72"/>
      <c r="I1" s="72"/>
    </row>
    <row r="2" spans="1:9" ht="35.4" customHeight="1">
      <c r="A2" s="73" t="s">
        <v>1794</v>
      </c>
      <c r="B2" s="73"/>
      <c r="C2" s="73"/>
      <c r="D2" s="73"/>
      <c r="E2" s="73"/>
      <c r="F2" s="73"/>
      <c r="G2" s="73"/>
      <c r="H2" s="73"/>
      <c r="I2" s="73"/>
    </row>
    <row r="4" spans="1:9" ht="28" customHeight="1">
      <c r="A4" s="59" t="s">
        <v>142</v>
      </c>
      <c r="B4" s="59" t="s">
        <v>321</v>
      </c>
      <c r="C4" s="59" t="s">
        <v>323</v>
      </c>
      <c r="D4" s="59" t="s">
        <v>1795</v>
      </c>
      <c r="E4" s="59" t="s">
        <v>1796</v>
      </c>
      <c r="F4" s="59" t="s">
        <v>1797</v>
      </c>
      <c r="G4" s="59" t="s">
        <v>1798</v>
      </c>
      <c r="H4" s="59" t="s">
        <v>1799</v>
      </c>
      <c r="I4" s="59" t="s">
        <v>1800</v>
      </c>
    </row>
    <row r="5" spans="1:9" ht="45.4" customHeight="1">
      <c r="A5" s="10" t="s">
        <v>19</v>
      </c>
      <c r="B5" s="10">
        <v>1</v>
      </c>
      <c r="C5" s="10" t="s">
        <v>332</v>
      </c>
      <c r="D5" s="10" t="s">
        <v>1801</v>
      </c>
      <c r="E5" s="10" t="s">
        <v>1802</v>
      </c>
      <c r="F5" s="10" t="s">
        <v>336</v>
      </c>
      <c r="G5" s="10" t="s">
        <v>338</v>
      </c>
      <c r="H5" s="10" t="s">
        <v>337</v>
      </c>
      <c r="I5" s="10" t="s">
        <v>1629</v>
      </c>
    </row>
    <row r="6" spans="1:9" ht="45.4" customHeight="1">
      <c r="A6" s="10" t="s">
        <v>19</v>
      </c>
      <c r="B6" s="10">
        <v>2</v>
      </c>
      <c r="C6" s="10" t="s">
        <v>341</v>
      </c>
      <c r="D6" s="10" t="s">
        <v>1803</v>
      </c>
      <c r="E6" s="10" t="s">
        <v>1804</v>
      </c>
      <c r="F6" s="10" t="s">
        <v>345</v>
      </c>
      <c r="G6" s="10" t="s">
        <v>347</v>
      </c>
      <c r="H6" s="10" t="s">
        <v>346</v>
      </c>
      <c r="I6" s="10" t="s">
        <v>1633</v>
      </c>
    </row>
    <row r="7" spans="1:9" ht="45.4" customHeight="1">
      <c r="A7" s="10" t="s">
        <v>19</v>
      </c>
      <c r="B7" s="10">
        <v>3</v>
      </c>
      <c r="C7" s="10" t="s">
        <v>349</v>
      </c>
      <c r="D7" s="10" t="s">
        <v>1805</v>
      </c>
      <c r="E7" s="10" t="s">
        <v>1806</v>
      </c>
      <c r="F7" s="10" t="s">
        <v>353</v>
      </c>
      <c r="G7" s="10" t="s">
        <v>355</v>
      </c>
      <c r="H7" s="10" t="s">
        <v>354</v>
      </c>
      <c r="I7" s="10" t="s">
        <v>1807</v>
      </c>
    </row>
    <row r="8" spans="1:9" ht="45.4" customHeight="1">
      <c r="A8" s="10" t="s">
        <v>19</v>
      </c>
      <c r="B8" s="10">
        <v>4</v>
      </c>
      <c r="C8" s="10" t="s">
        <v>357</v>
      </c>
      <c r="D8" s="10" t="s">
        <v>1808</v>
      </c>
      <c r="E8" s="10" t="s">
        <v>1809</v>
      </c>
      <c r="F8" s="10" t="s">
        <v>361</v>
      </c>
      <c r="G8" s="10" t="s">
        <v>363</v>
      </c>
      <c r="H8" s="10" t="s">
        <v>362</v>
      </c>
      <c r="I8" s="10" t="s">
        <v>1807</v>
      </c>
    </row>
    <row r="9" spans="1:9" ht="45.4" customHeight="1">
      <c r="A9" s="10" t="s">
        <v>19</v>
      </c>
      <c r="B9" s="10">
        <v>5</v>
      </c>
      <c r="C9" s="10" t="s">
        <v>364</v>
      </c>
      <c r="D9" s="10" t="s">
        <v>1810</v>
      </c>
      <c r="E9" s="10" t="s">
        <v>1811</v>
      </c>
      <c r="F9" s="10" t="s">
        <v>368</v>
      </c>
      <c r="G9" s="10" t="s">
        <v>370</v>
      </c>
      <c r="H9" s="10" t="s">
        <v>369</v>
      </c>
      <c r="I9" s="10" t="s">
        <v>1807</v>
      </c>
    </row>
    <row r="10" spans="1:9" ht="45.4" customHeight="1">
      <c r="A10" s="10" t="s">
        <v>19</v>
      </c>
      <c r="B10" s="10">
        <v>6</v>
      </c>
      <c r="C10" s="10" t="s">
        <v>372</v>
      </c>
      <c r="D10" s="10" t="s">
        <v>1812</v>
      </c>
      <c r="E10" s="10" t="s">
        <v>1813</v>
      </c>
      <c r="F10" s="10" t="s">
        <v>376</v>
      </c>
      <c r="G10" s="10" t="s">
        <v>378</v>
      </c>
      <c r="H10" s="10" t="s">
        <v>377</v>
      </c>
      <c r="I10" s="10" t="s">
        <v>1807</v>
      </c>
    </row>
    <row r="11" spans="1:9" ht="45.4" customHeight="1">
      <c r="A11" s="10" t="s">
        <v>19</v>
      </c>
      <c r="B11" s="10">
        <v>7</v>
      </c>
      <c r="C11" s="10" t="s">
        <v>380</v>
      </c>
      <c r="D11" s="10" t="s">
        <v>1707</v>
      </c>
      <c r="E11" s="10" t="s">
        <v>1814</v>
      </c>
      <c r="F11" s="10" t="s">
        <v>384</v>
      </c>
      <c r="G11" s="10" t="s">
        <v>386</v>
      </c>
      <c r="H11" s="10" t="s">
        <v>385</v>
      </c>
      <c r="I11" s="10" t="s">
        <v>1807</v>
      </c>
    </row>
    <row r="12" spans="1:9" ht="45.4" customHeight="1">
      <c r="A12" s="10" t="s">
        <v>19</v>
      </c>
      <c r="B12" s="10">
        <v>8</v>
      </c>
      <c r="C12" s="10" t="s">
        <v>388</v>
      </c>
      <c r="D12" s="10" t="s">
        <v>1815</v>
      </c>
      <c r="E12" s="10" t="s">
        <v>1816</v>
      </c>
      <c r="F12" s="10" t="s">
        <v>392</v>
      </c>
      <c r="G12" s="10" t="s">
        <v>394</v>
      </c>
      <c r="H12" s="10" t="s">
        <v>393</v>
      </c>
      <c r="I12" s="10" t="s">
        <v>1807</v>
      </c>
    </row>
    <row r="13" spans="1:9" ht="45.4" customHeight="1">
      <c r="A13" s="10" t="s">
        <v>19</v>
      </c>
      <c r="B13" s="10">
        <v>9</v>
      </c>
      <c r="C13" s="10" t="s">
        <v>395</v>
      </c>
      <c r="D13" s="10" t="s">
        <v>1817</v>
      </c>
      <c r="E13" s="10" t="s">
        <v>1818</v>
      </c>
      <c r="F13" s="10" t="s">
        <v>399</v>
      </c>
      <c r="G13" s="10" t="s">
        <v>401</v>
      </c>
      <c r="H13" s="10" t="s">
        <v>400</v>
      </c>
      <c r="I13" s="10" t="s">
        <v>1807</v>
      </c>
    </row>
    <row r="14" spans="1:9" ht="45.4" customHeight="1">
      <c r="A14" s="10" t="s">
        <v>19</v>
      </c>
      <c r="B14" s="10">
        <v>10</v>
      </c>
      <c r="C14" s="10" t="s">
        <v>402</v>
      </c>
      <c r="D14" s="10" t="s">
        <v>1819</v>
      </c>
      <c r="E14" s="10" t="s">
        <v>1820</v>
      </c>
      <c r="F14" s="10" t="s">
        <v>406</v>
      </c>
      <c r="G14" s="10" t="s">
        <v>408</v>
      </c>
      <c r="H14" s="10" t="s">
        <v>407</v>
      </c>
      <c r="I14" s="10" t="s">
        <v>1807</v>
      </c>
    </row>
    <row r="15" spans="1:9" ht="45.4" customHeight="1">
      <c r="A15" s="10" t="s">
        <v>19</v>
      </c>
      <c r="B15" s="10">
        <v>11</v>
      </c>
      <c r="C15" s="10" t="s">
        <v>410</v>
      </c>
      <c r="D15" s="10" t="s">
        <v>1821</v>
      </c>
      <c r="E15" s="10" t="s">
        <v>1822</v>
      </c>
      <c r="F15" s="10" t="s">
        <v>414</v>
      </c>
      <c r="G15" s="10" t="s">
        <v>416</v>
      </c>
      <c r="H15" s="10" t="s">
        <v>415</v>
      </c>
      <c r="I15" s="10" t="s">
        <v>1660</v>
      </c>
    </row>
    <row r="16" spans="1:9" ht="45.4" customHeight="1">
      <c r="A16" s="10" t="s">
        <v>19</v>
      </c>
      <c r="B16" s="10">
        <v>12</v>
      </c>
      <c r="C16" s="10" t="s">
        <v>419</v>
      </c>
      <c r="D16" s="10" t="s">
        <v>1708</v>
      </c>
      <c r="E16" s="10" t="s">
        <v>1823</v>
      </c>
      <c r="F16" s="10" t="s">
        <v>423</v>
      </c>
      <c r="G16" s="10" t="s">
        <v>425</v>
      </c>
      <c r="H16" s="10" t="s">
        <v>424</v>
      </c>
      <c r="I16" s="10" t="s">
        <v>1807</v>
      </c>
    </row>
    <row r="17" spans="1:9" ht="45.4" customHeight="1">
      <c r="A17" s="10" t="s">
        <v>19</v>
      </c>
      <c r="B17" s="10">
        <v>13</v>
      </c>
      <c r="C17" s="10" t="s">
        <v>427</v>
      </c>
      <c r="D17" s="10" t="s">
        <v>1824</v>
      </c>
      <c r="E17" s="10" t="s">
        <v>1825</v>
      </c>
      <c r="F17" s="10" t="s">
        <v>431</v>
      </c>
      <c r="G17" s="10" t="s">
        <v>433</v>
      </c>
      <c r="H17" s="10" t="s">
        <v>432</v>
      </c>
      <c r="I17" s="10" t="s">
        <v>1633</v>
      </c>
    </row>
    <row r="18" spans="1:9" ht="45.4" customHeight="1">
      <c r="A18" s="10" t="s">
        <v>19</v>
      </c>
      <c r="B18" s="10">
        <v>14</v>
      </c>
      <c r="C18" s="10" t="s">
        <v>434</v>
      </c>
      <c r="D18" s="10" t="s">
        <v>1826</v>
      </c>
      <c r="E18" s="10" t="s">
        <v>1827</v>
      </c>
      <c r="F18" s="10" t="s">
        <v>438</v>
      </c>
      <c r="G18" s="10" t="s">
        <v>440</v>
      </c>
      <c r="H18" s="10" t="s">
        <v>439</v>
      </c>
      <c r="I18" s="10" t="s">
        <v>1633</v>
      </c>
    </row>
    <row r="19" spans="1:9" ht="45.4" customHeight="1">
      <c r="A19" s="10" t="s">
        <v>19</v>
      </c>
      <c r="B19" s="10">
        <v>15</v>
      </c>
      <c r="C19" s="10" t="s">
        <v>442</v>
      </c>
      <c r="D19" s="10" t="s">
        <v>1828</v>
      </c>
      <c r="E19" s="10" t="s">
        <v>1829</v>
      </c>
      <c r="F19" s="10" t="s">
        <v>446</v>
      </c>
      <c r="G19" s="10" t="s">
        <v>448</v>
      </c>
      <c r="H19" s="10" t="s">
        <v>447</v>
      </c>
      <c r="I19" s="10" t="s">
        <v>1807</v>
      </c>
    </row>
    <row r="20" spans="1:9" ht="45.4" customHeight="1">
      <c r="A20" s="10" t="s">
        <v>19</v>
      </c>
      <c r="B20" s="10">
        <v>16</v>
      </c>
      <c r="C20" s="10" t="s">
        <v>450</v>
      </c>
      <c r="D20" s="10" t="s">
        <v>1709</v>
      </c>
      <c r="E20" s="10" t="s">
        <v>1830</v>
      </c>
      <c r="F20" s="10" t="s">
        <v>454</v>
      </c>
      <c r="G20" s="10" t="s">
        <v>456</v>
      </c>
      <c r="H20" s="10" t="s">
        <v>455</v>
      </c>
      <c r="I20" s="10" t="s">
        <v>1807</v>
      </c>
    </row>
    <row r="21" spans="1:9" ht="45.4" customHeight="1">
      <c r="A21" s="10" t="s">
        <v>27</v>
      </c>
      <c r="B21" s="10">
        <v>1</v>
      </c>
      <c r="C21" s="10" t="s">
        <v>458</v>
      </c>
      <c r="D21" s="10" t="s">
        <v>1831</v>
      </c>
      <c r="E21" s="10" t="s">
        <v>1832</v>
      </c>
      <c r="F21" s="10" t="s">
        <v>462</v>
      </c>
      <c r="G21" s="10" t="s">
        <v>464</v>
      </c>
      <c r="H21" s="10" t="s">
        <v>463</v>
      </c>
      <c r="I21" s="10" t="s">
        <v>1636</v>
      </c>
    </row>
    <row r="22" spans="1:9" ht="45.4" customHeight="1">
      <c r="A22" s="10" t="s">
        <v>27</v>
      </c>
      <c r="B22" s="10">
        <v>2</v>
      </c>
      <c r="C22" s="10" t="s">
        <v>467</v>
      </c>
      <c r="D22" s="10" t="s">
        <v>1833</v>
      </c>
      <c r="E22" s="10" t="s">
        <v>1834</v>
      </c>
      <c r="F22" s="10" t="s">
        <v>471</v>
      </c>
      <c r="G22" s="10" t="s">
        <v>473</v>
      </c>
      <c r="H22" s="10" t="s">
        <v>472</v>
      </c>
      <c r="I22" s="10" t="s">
        <v>1642</v>
      </c>
    </row>
    <row r="23" spans="1:9" ht="45.4" customHeight="1">
      <c r="A23" s="10" t="s">
        <v>27</v>
      </c>
      <c r="B23" s="10">
        <v>3</v>
      </c>
      <c r="C23" s="10" t="s">
        <v>475</v>
      </c>
      <c r="D23" s="10" t="s">
        <v>1835</v>
      </c>
      <c r="E23" s="10" t="s">
        <v>1836</v>
      </c>
      <c r="F23" s="10" t="s">
        <v>479</v>
      </c>
      <c r="G23" s="10" t="s">
        <v>481</v>
      </c>
      <c r="H23" s="10" t="s">
        <v>480</v>
      </c>
      <c r="I23" s="10" t="s">
        <v>1642</v>
      </c>
    </row>
    <row r="24" spans="1:9" ht="45.4" customHeight="1">
      <c r="A24" s="10" t="s">
        <v>27</v>
      </c>
      <c r="B24" s="10">
        <v>4</v>
      </c>
      <c r="C24" s="10" t="s">
        <v>483</v>
      </c>
      <c r="D24" s="10" t="s">
        <v>1837</v>
      </c>
      <c r="E24" s="10" t="s">
        <v>1838</v>
      </c>
      <c r="F24" s="10" t="s">
        <v>487</v>
      </c>
      <c r="G24" s="10" t="s">
        <v>489</v>
      </c>
      <c r="H24" s="10" t="s">
        <v>488</v>
      </c>
      <c r="I24" s="10" t="s">
        <v>1807</v>
      </c>
    </row>
    <row r="25" spans="1:9" ht="45.4" customHeight="1">
      <c r="A25" s="10" t="s">
        <v>27</v>
      </c>
      <c r="B25" s="10">
        <v>5</v>
      </c>
      <c r="C25" s="10" t="s">
        <v>491</v>
      </c>
      <c r="D25" s="10" t="s">
        <v>1839</v>
      </c>
      <c r="E25" s="10" t="s">
        <v>1840</v>
      </c>
      <c r="F25" s="10" t="s">
        <v>495</v>
      </c>
      <c r="G25" s="10" t="s">
        <v>497</v>
      </c>
      <c r="H25" s="10" t="s">
        <v>496</v>
      </c>
      <c r="I25" s="10" t="s">
        <v>1642</v>
      </c>
    </row>
    <row r="26" spans="1:9" ht="45.4" customHeight="1">
      <c r="A26" s="10" t="s">
        <v>27</v>
      </c>
      <c r="B26" s="10">
        <v>6</v>
      </c>
      <c r="C26" s="10" t="s">
        <v>499</v>
      </c>
      <c r="D26" s="10" t="s">
        <v>1710</v>
      </c>
      <c r="E26" s="10" t="s">
        <v>1841</v>
      </c>
      <c r="F26" s="10" t="s">
        <v>503</v>
      </c>
      <c r="G26" s="10" t="s">
        <v>505</v>
      </c>
      <c r="H26" s="10" t="s">
        <v>504</v>
      </c>
      <c r="I26" s="10" t="s">
        <v>1642</v>
      </c>
    </row>
    <row r="27" spans="1:9" ht="45.4" customHeight="1">
      <c r="A27" s="10" t="s">
        <v>27</v>
      </c>
      <c r="B27" s="10">
        <v>7</v>
      </c>
      <c r="C27" s="10" t="s">
        <v>507</v>
      </c>
      <c r="D27" s="10" t="s">
        <v>1842</v>
      </c>
      <c r="E27" s="10" t="s">
        <v>1843</v>
      </c>
      <c r="F27" s="10" t="s">
        <v>511</v>
      </c>
      <c r="G27" s="10" t="s">
        <v>513</v>
      </c>
      <c r="H27" s="10" t="s">
        <v>512</v>
      </c>
      <c r="I27" s="10" t="s">
        <v>1636</v>
      </c>
    </row>
    <row r="28" spans="1:9" ht="45.4" customHeight="1">
      <c r="A28" s="10" t="s">
        <v>27</v>
      </c>
      <c r="B28" s="10">
        <v>8</v>
      </c>
      <c r="C28" s="10" t="s">
        <v>516</v>
      </c>
      <c r="D28" s="10" t="s">
        <v>1844</v>
      </c>
      <c r="E28" s="10" t="s">
        <v>1845</v>
      </c>
      <c r="F28" s="10" t="s">
        <v>520</v>
      </c>
      <c r="G28" s="10" t="s">
        <v>522</v>
      </c>
      <c r="H28" s="10" t="s">
        <v>521</v>
      </c>
      <c r="I28" s="10" t="s">
        <v>1636</v>
      </c>
    </row>
    <row r="29" spans="1:9" ht="45.4" customHeight="1">
      <c r="A29" s="10" t="s">
        <v>27</v>
      </c>
      <c r="B29" s="10">
        <v>9</v>
      </c>
      <c r="C29" s="10" t="s">
        <v>523</v>
      </c>
      <c r="D29" s="10" t="s">
        <v>1846</v>
      </c>
      <c r="E29" s="10" t="s">
        <v>1847</v>
      </c>
      <c r="F29" s="10" t="s">
        <v>527</v>
      </c>
      <c r="G29" s="10" t="s">
        <v>529</v>
      </c>
      <c r="H29" s="10" t="s">
        <v>528</v>
      </c>
      <c r="I29" s="10" t="s">
        <v>1657</v>
      </c>
    </row>
    <row r="30" spans="1:9" ht="45.4" customHeight="1">
      <c r="A30" s="10" t="s">
        <v>27</v>
      </c>
      <c r="B30" s="10">
        <v>10</v>
      </c>
      <c r="C30" s="10" t="s">
        <v>531</v>
      </c>
      <c r="D30" s="10" t="s">
        <v>1848</v>
      </c>
      <c r="E30" s="10" t="s">
        <v>1849</v>
      </c>
      <c r="F30" s="10" t="s">
        <v>535</v>
      </c>
      <c r="G30" s="10" t="s">
        <v>537</v>
      </c>
      <c r="H30" s="10" t="s">
        <v>536</v>
      </c>
      <c r="I30" s="10" t="s">
        <v>1657</v>
      </c>
    </row>
    <row r="31" spans="1:9" ht="45.4" customHeight="1">
      <c r="A31" s="10" t="s">
        <v>27</v>
      </c>
      <c r="B31" s="10">
        <v>11</v>
      </c>
      <c r="C31" s="10" t="s">
        <v>539</v>
      </c>
      <c r="D31" s="10" t="s">
        <v>1850</v>
      </c>
      <c r="E31" s="10" t="s">
        <v>1851</v>
      </c>
      <c r="F31" s="10" t="s">
        <v>543</v>
      </c>
      <c r="G31" s="10" t="s">
        <v>545</v>
      </c>
      <c r="H31" s="10" t="s">
        <v>544</v>
      </c>
      <c r="I31" s="10" t="s">
        <v>1657</v>
      </c>
    </row>
    <row r="32" spans="1:9" ht="45.4" customHeight="1">
      <c r="A32" s="10" t="s">
        <v>27</v>
      </c>
      <c r="B32" s="10">
        <v>12</v>
      </c>
      <c r="C32" s="10" t="s">
        <v>547</v>
      </c>
      <c r="D32" s="10" t="s">
        <v>1711</v>
      </c>
      <c r="E32" s="10" t="s">
        <v>1852</v>
      </c>
      <c r="F32" s="10" t="s">
        <v>551</v>
      </c>
      <c r="G32" s="10" t="s">
        <v>553</v>
      </c>
      <c r="H32" s="10" t="s">
        <v>552</v>
      </c>
      <c r="I32" s="10" t="s">
        <v>1657</v>
      </c>
    </row>
    <row r="33" spans="1:9" ht="45.4" customHeight="1">
      <c r="A33" s="10" t="s">
        <v>27</v>
      </c>
      <c r="B33" s="10">
        <v>13</v>
      </c>
      <c r="C33" s="10" t="s">
        <v>555</v>
      </c>
      <c r="D33" s="10" t="s">
        <v>1853</v>
      </c>
      <c r="E33" s="10" t="s">
        <v>1854</v>
      </c>
      <c r="F33" s="10" t="s">
        <v>559</v>
      </c>
      <c r="G33" s="10" t="s">
        <v>561</v>
      </c>
      <c r="H33" s="10" t="s">
        <v>560</v>
      </c>
      <c r="I33" s="10" t="s">
        <v>1645</v>
      </c>
    </row>
    <row r="34" spans="1:9" ht="45.4" customHeight="1">
      <c r="A34" s="10" t="s">
        <v>27</v>
      </c>
      <c r="B34" s="10">
        <v>14</v>
      </c>
      <c r="C34" s="10" t="s">
        <v>564</v>
      </c>
      <c r="D34" s="10" t="s">
        <v>1855</v>
      </c>
      <c r="E34" s="10" t="s">
        <v>1856</v>
      </c>
      <c r="F34" s="10" t="s">
        <v>568</v>
      </c>
      <c r="G34" s="10" t="s">
        <v>570</v>
      </c>
      <c r="H34" s="10" t="s">
        <v>569</v>
      </c>
      <c r="I34" s="10" t="s">
        <v>1807</v>
      </c>
    </row>
    <row r="35" spans="1:9" ht="45.4" customHeight="1">
      <c r="A35" s="10" t="s">
        <v>27</v>
      </c>
      <c r="B35" s="10">
        <v>15</v>
      </c>
      <c r="C35" s="10" t="s">
        <v>571</v>
      </c>
      <c r="D35" s="10" t="s">
        <v>1857</v>
      </c>
      <c r="E35" s="10" t="s">
        <v>1858</v>
      </c>
      <c r="F35" s="10" t="s">
        <v>575</v>
      </c>
      <c r="G35" s="10" t="s">
        <v>577</v>
      </c>
      <c r="H35" s="10" t="s">
        <v>576</v>
      </c>
      <c r="I35" s="10" t="s">
        <v>1807</v>
      </c>
    </row>
    <row r="36" spans="1:9" ht="45.4" customHeight="1">
      <c r="A36" s="10" t="s">
        <v>27</v>
      </c>
      <c r="B36" s="10">
        <v>16</v>
      </c>
      <c r="C36" s="10" t="s">
        <v>579</v>
      </c>
      <c r="D36" s="10" t="s">
        <v>1712</v>
      </c>
      <c r="E36" s="10" t="s">
        <v>1859</v>
      </c>
      <c r="F36" s="10" t="s">
        <v>583</v>
      </c>
      <c r="G36" s="10" t="s">
        <v>585</v>
      </c>
      <c r="H36" s="10" t="s">
        <v>584</v>
      </c>
      <c r="I36" s="10" t="s">
        <v>1807</v>
      </c>
    </row>
    <row r="37" spans="1:9" ht="45.4" customHeight="1">
      <c r="A37" s="10" t="s">
        <v>35</v>
      </c>
      <c r="B37" s="10">
        <v>1</v>
      </c>
      <c r="C37" s="10" t="s">
        <v>587</v>
      </c>
      <c r="D37" s="10" t="s">
        <v>1860</v>
      </c>
      <c r="E37" s="10" t="s">
        <v>1861</v>
      </c>
      <c r="F37" s="10" t="s">
        <v>591</v>
      </c>
      <c r="G37" s="10" t="s">
        <v>593</v>
      </c>
      <c r="H37" s="10" t="s">
        <v>592</v>
      </c>
      <c r="I37" s="10" t="s">
        <v>1639</v>
      </c>
    </row>
    <row r="38" spans="1:9" ht="45.4" customHeight="1">
      <c r="A38" s="10" t="s">
        <v>35</v>
      </c>
      <c r="B38" s="10">
        <v>2</v>
      </c>
      <c r="C38" s="10" t="s">
        <v>595</v>
      </c>
      <c r="D38" s="10" t="s">
        <v>1862</v>
      </c>
      <c r="E38" s="10" t="s">
        <v>1863</v>
      </c>
      <c r="F38" s="10" t="s">
        <v>599</v>
      </c>
      <c r="G38" s="10" t="s">
        <v>601</v>
      </c>
      <c r="H38" s="10" t="s">
        <v>600</v>
      </c>
      <c r="I38" s="10" t="s">
        <v>1639</v>
      </c>
    </row>
    <row r="39" spans="1:9" ht="45.4" customHeight="1">
      <c r="A39" s="10" t="s">
        <v>35</v>
      </c>
      <c r="B39" s="10">
        <v>3</v>
      </c>
      <c r="C39" s="10" t="s">
        <v>603</v>
      </c>
      <c r="D39" s="10" t="s">
        <v>1864</v>
      </c>
      <c r="E39" s="10" t="s">
        <v>1865</v>
      </c>
      <c r="F39" s="10" t="s">
        <v>607</v>
      </c>
      <c r="G39" s="10" t="s">
        <v>609</v>
      </c>
      <c r="H39" s="10" t="s">
        <v>608</v>
      </c>
      <c r="I39" s="10" t="s">
        <v>1639</v>
      </c>
    </row>
    <row r="40" spans="1:9" ht="45.4" customHeight="1">
      <c r="A40" s="10" t="s">
        <v>35</v>
      </c>
      <c r="B40" s="10">
        <v>4</v>
      </c>
      <c r="C40" s="10" t="s">
        <v>611</v>
      </c>
      <c r="D40" s="10" t="s">
        <v>1866</v>
      </c>
      <c r="E40" s="10" t="s">
        <v>1867</v>
      </c>
      <c r="F40" s="10" t="s">
        <v>615</v>
      </c>
      <c r="G40" s="10" t="s">
        <v>617</v>
      </c>
      <c r="H40" s="10" t="s">
        <v>616</v>
      </c>
      <c r="I40" s="10" t="s">
        <v>1651</v>
      </c>
    </row>
    <row r="41" spans="1:9" ht="45.4" customHeight="1">
      <c r="A41" s="10" t="s">
        <v>35</v>
      </c>
      <c r="B41" s="10">
        <v>5</v>
      </c>
      <c r="C41" s="10" t="s">
        <v>618</v>
      </c>
      <c r="D41" s="10" t="s">
        <v>1713</v>
      </c>
      <c r="E41" s="10" t="s">
        <v>1868</v>
      </c>
      <c r="F41" s="10" t="s">
        <v>622</v>
      </c>
      <c r="G41" s="10" t="s">
        <v>624</v>
      </c>
      <c r="H41" s="10" t="s">
        <v>623</v>
      </c>
      <c r="I41" s="10" t="s">
        <v>1651</v>
      </c>
    </row>
    <row r="42" spans="1:9" ht="45.4" customHeight="1">
      <c r="A42" s="10" t="s">
        <v>35</v>
      </c>
      <c r="B42" s="10">
        <v>6</v>
      </c>
      <c r="C42" s="10" t="s">
        <v>626</v>
      </c>
      <c r="D42" s="10" t="s">
        <v>1869</v>
      </c>
      <c r="E42" s="10" t="s">
        <v>1870</v>
      </c>
      <c r="F42" s="10" t="s">
        <v>630</v>
      </c>
      <c r="G42" s="10" t="s">
        <v>632</v>
      </c>
      <c r="H42" s="10" t="s">
        <v>631</v>
      </c>
      <c r="I42" s="10" t="s">
        <v>1654</v>
      </c>
    </row>
    <row r="43" spans="1:9" ht="45.4" customHeight="1">
      <c r="A43" s="10" t="s">
        <v>35</v>
      </c>
      <c r="B43" s="10">
        <v>7</v>
      </c>
      <c r="C43" s="10" t="s">
        <v>633</v>
      </c>
      <c r="D43" s="10" t="s">
        <v>1871</v>
      </c>
      <c r="E43" s="10" t="s">
        <v>1872</v>
      </c>
      <c r="F43" s="10" t="s">
        <v>637</v>
      </c>
      <c r="G43" s="10" t="s">
        <v>639</v>
      </c>
      <c r="H43" s="10" t="s">
        <v>638</v>
      </c>
      <c r="I43" s="10" t="s">
        <v>1654</v>
      </c>
    </row>
    <row r="44" spans="1:9" ht="45.4" customHeight="1">
      <c r="A44" s="10" t="s">
        <v>35</v>
      </c>
      <c r="B44" s="10">
        <v>8</v>
      </c>
      <c r="C44" s="10" t="s">
        <v>641</v>
      </c>
      <c r="D44" s="10" t="s">
        <v>1873</v>
      </c>
      <c r="E44" s="10" t="s">
        <v>1874</v>
      </c>
      <c r="F44" s="10" t="s">
        <v>645</v>
      </c>
      <c r="G44" s="10" t="s">
        <v>647</v>
      </c>
      <c r="H44" s="10" t="s">
        <v>646</v>
      </c>
      <c r="I44" s="10" t="s">
        <v>1654</v>
      </c>
    </row>
    <row r="45" spans="1:9" ht="45.4" customHeight="1">
      <c r="A45" s="10" t="s">
        <v>35</v>
      </c>
      <c r="B45" s="10">
        <v>9</v>
      </c>
      <c r="C45" s="10" t="s">
        <v>649</v>
      </c>
      <c r="D45" s="10" t="s">
        <v>1875</v>
      </c>
      <c r="E45" s="10" t="s">
        <v>1876</v>
      </c>
      <c r="F45" s="10" t="s">
        <v>653</v>
      </c>
      <c r="G45" s="10" t="s">
        <v>655</v>
      </c>
      <c r="H45" s="10" t="s">
        <v>654</v>
      </c>
      <c r="I45" s="10" t="s">
        <v>1807</v>
      </c>
    </row>
    <row r="46" spans="1:9" ht="45.4" customHeight="1">
      <c r="A46" s="10" t="s">
        <v>35</v>
      </c>
      <c r="B46" s="10">
        <v>10</v>
      </c>
      <c r="C46" s="10" t="s">
        <v>657</v>
      </c>
      <c r="D46" s="10" t="s">
        <v>1877</v>
      </c>
      <c r="E46" s="10" t="s">
        <v>1878</v>
      </c>
      <c r="F46" s="10" t="s">
        <v>661</v>
      </c>
      <c r="G46" s="10" t="s">
        <v>663</v>
      </c>
      <c r="H46" s="10" t="s">
        <v>662</v>
      </c>
      <c r="I46" s="10" t="s">
        <v>1648</v>
      </c>
    </row>
    <row r="47" spans="1:9" ht="45.4" customHeight="1">
      <c r="A47" s="10" t="s">
        <v>35</v>
      </c>
      <c r="B47" s="10">
        <v>11</v>
      </c>
      <c r="C47" s="10" t="s">
        <v>665</v>
      </c>
      <c r="D47" s="10" t="s">
        <v>1879</v>
      </c>
      <c r="E47" s="10" t="s">
        <v>1880</v>
      </c>
      <c r="F47" s="10" t="s">
        <v>669</v>
      </c>
      <c r="G47" s="10" t="s">
        <v>671</v>
      </c>
      <c r="H47" s="10" t="s">
        <v>670</v>
      </c>
      <c r="I47" s="10" t="s">
        <v>1648</v>
      </c>
    </row>
    <row r="48" spans="1:9" ht="45.4" customHeight="1">
      <c r="A48" s="10" t="s">
        <v>35</v>
      </c>
      <c r="B48" s="10">
        <v>12</v>
      </c>
      <c r="C48" s="10" t="s">
        <v>673</v>
      </c>
      <c r="D48" s="10" t="s">
        <v>1881</v>
      </c>
      <c r="E48" s="10" t="s">
        <v>1882</v>
      </c>
      <c r="F48" s="10" t="s">
        <v>677</v>
      </c>
      <c r="G48" s="10" t="s">
        <v>679</v>
      </c>
      <c r="H48" s="10" t="s">
        <v>678</v>
      </c>
      <c r="I48" s="10" t="s">
        <v>1645</v>
      </c>
    </row>
    <row r="49" spans="1:9" ht="45.4" customHeight="1">
      <c r="A49" s="10" t="s">
        <v>35</v>
      </c>
      <c r="B49" s="10">
        <v>13</v>
      </c>
      <c r="C49" s="10" t="s">
        <v>682</v>
      </c>
      <c r="D49" s="10" t="s">
        <v>1714</v>
      </c>
      <c r="E49" s="10" t="s">
        <v>1883</v>
      </c>
      <c r="F49" s="10" t="s">
        <v>686</v>
      </c>
      <c r="G49" s="10" t="s">
        <v>688</v>
      </c>
      <c r="H49" s="10" t="s">
        <v>687</v>
      </c>
      <c r="I49" s="10" t="s">
        <v>1807</v>
      </c>
    </row>
    <row r="50" spans="1:9" ht="45.4" customHeight="1">
      <c r="A50" s="10" t="s">
        <v>35</v>
      </c>
      <c r="B50" s="10">
        <v>14</v>
      </c>
      <c r="C50" s="10" t="s">
        <v>690</v>
      </c>
      <c r="D50" s="10" t="s">
        <v>1884</v>
      </c>
      <c r="E50" s="10" t="s">
        <v>1885</v>
      </c>
      <c r="F50" s="10" t="s">
        <v>694</v>
      </c>
      <c r="G50" s="10" t="s">
        <v>696</v>
      </c>
      <c r="H50" s="10" t="s">
        <v>695</v>
      </c>
      <c r="I50" s="10" t="s">
        <v>1807</v>
      </c>
    </row>
    <row r="51" spans="1:9" ht="45.4" customHeight="1">
      <c r="A51" s="10" t="s">
        <v>35</v>
      </c>
      <c r="B51" s="10">
        <v>15</v>
      </c>
      <c r="C51" s="10" t="s">
        <v>698</v>
      </c>
      <c r="D51" s="10" t="s">
        <v>1886</v>
      </c>
      <c r="E51" s="10" t="s">
        <v>1887</v>
      </c>
      <c r="F51" s="10" t="s">
        <v>702</v>
      </c>
      <c r="G51" s="10" t="s">
        <v>704</v>
      </c>
      <c r="H51" s="10" t="s">
        <v>703</v>
      </c>
      <c r="I51" s="10" t="s">
        <v>1807</v>
      </c>
    </row>
    <row r="52" spans="1:9" ht="45.4" customHeight="1">
      <c r="A52" s="10" t="s">
        <v>35</v>
      </c>
      <c r="B52" s="10">
        <v>16</v>
      </c>
      <c r="C52" s="10" t="s">
        <v>706</v>
      </c>
      <c r="D52" s="10" t="s">
        <v>1715</v>
      </c>
      <c r="E52" s="10" t="s">
        <v>1888</v>
      </c>
      <c r="F52" s="10" t="s">
        <v>710</v>
      </c>
      <c r="G52" s="10" t="s">
        <v>712</v>
      </c>
      <c r="H52" s="10" t="s">
        <v>711</v>
      </c>
      <c r="I52" s="10" t="s">
        <v>1807</v>
      </c>
    </row>
    <row r="53" spans="1:9" ht="45.4" customHeight="1">
      <c r="A53" s="10" t="s">
        <v>43</v>
      </c>
      <c r="B53" s="10">
        <v>1</v>
      </c>
      <c r="C53" s="10" t="s">
        <v>714</v>
      </c>
      <c r="D53" s="10" t="s">
        <v>1889</v>
      </c>
      <c r="E53" s="10" t="s">
        <v>1890</v>
      </c>
      <c r="F53" s="10" t="s">
        <v>718</v>
      </c>
      <c r="G53" s="10" t="s">
        <v>720</v>
      </c>
      <c r="H53" s="10" t="s">
        <v>719</v>
      </c>
      <c r="I53" s="10" t="s">
        <v>1807</v>
      </c>
    </row>
    <row r="54" spans="1:9" ht="45.4" customHeight="1">
      <c r="A54" s="10" t="s">
        <v>43</v>
      </c>
      <c r="B54" s="10">
        <v>2</v>
      </c>
      <c r="C54" s="10" t="s">
        <v>723</v>
      </c>
      <c r="D54" s="10" t="s">
        <v>1891</v>
      </c>
      <c r="E54" s="10" t="s">
        <v>1892</v>
      </c>
      <c r="F54" s="10" t="s">
        <v>727</v>
      </c>
      <c r="G54" s="10" t="s">
        <v>729</v>
      </c>
      <c r="H54" s="10" t="s">
        <v>728</v>
      </c>
      <c r="I54" s="10" t="s">
        <v>1807</v>
      </c>
    </row>
    <row r="55" spans="1:9" ht="45.4" customHeight="1">
      <c r="A55" s="10" t="s">
        <v>43</v>
      </c>
      <c r="B55" s="10">
        <v>3</v>
      </c>
      <c r="C55" s="10" t="s">
        <v>730</v>
      </c>
      <c r="D55" s="10" t="s">
        <v>1893</v>
      </c>
      <c r="E55" s="10" t="s">
        <v>1894</v>
      </c>
      <c r="F55" s="10" t="s">
        <v>734</v>
      </c>
      <c r="G55" s="10" t="s">
        <v>736</v>
      </c>
      <c r="H55" s="10" t="s">
        <v>735</v>
      </c>
      <c r="I55" s="10" t="s">
        <v>1663</v>
      </c>
    </row>
    <row r="56" spans="1:9" ht="45.4" customHeight="1">
      <c r="A56" s="10" t="s">
        <v>43</v>
      </c>
      <c r="B56" s="10">
        <v>4</v>
      </c>
      <c r="C56" s="10" t="s">
        <v>738</v>
      </c>
      <c r="D56" s="10" t="s">
        <v>1895</v>
      </c>
      <c r="E56" s="10" t="s">
        <v>1896</v>
      </c>
      <c r="F56" s="10" t="s">
        <v>742</v>
      </c>
      <c r="G56" s="10" t="s">
        <v>744</v>
      </c>
      <c r="H56" s="10" t="s">
        <v>743</v>
      </c>
      <c r="I56" s="10" t="s">
        <v>1663</v>
      </c>
    </row>
    <row r="57" spans="1:9" ht="45.4" customHeight="1">
      <c r="A57" s="10" t="s">
        <v>43</v>
      </c>
      <c r="B57" s="10">
        <v>5</v>
      </c>
      <c r="C57" s="10" t="s">
        <v>746</v>
      </c>
      <c r="D57" s="10" t="s">
        <v>1897</v>
      </c>
      <c r="E57" s="10" t="s">
        <v>1898</v>
      </c>
      <c r="F57" s="10" t="s">
        <v>750</v>
      </c>
      <c r="G57" s="10" t="s">
        <v>752</v>
      </c>
      <c r="H57" s="10" t="s">
        <v>751</v>
      </c>
      <c r="I57" s="10" t="s">
        <v>1669</v>
      </c>
    </row>
    <row r="58" spans="1:9" ht="45.4" customHeight="1">
      <c r="A58" s="10" t="s">
        <v>43</v>
      </c>
      <c r="B58" s="10">
        <v>6</v>
      </c>
      <c r="C58" s="10" t="s">
        <v>754</v>
      </c>
      <c r="D58" s="10" t="s">
        <v>1716</v>
      </c>
      <c r="E58" s="10" t="s">
        <v>1899</v>
      </c>
      <c r="F58" s="10" t="s">
        <v>758</v>
      </c>
      <c r="G58" s="10" t="s">
        <v>760</v>
      </c>
      <c r="H58" s="10" t="s">
        <v>759</v>
      </c>
      <c r="I58" s="10" t="s">
        <v>1669</v>
      </c>
    </row>
    <row r="59" spans="1:9" ht="45.4" customHeight="1">
      <c r="A59" s="10" t="s">
        <v>43</v>
      </c>
      <c r="B59" s="10">
        <v>7</v>
      </c>
      <c r="C59" s="10" t="s">
        <v>762</v>
      </c>
      <c r="D59" s="10" t="s">
        <v>1900</v>
      </c>
      <c r="E59" s="10" t="s">
        <v>1901</v>
      </c>
      <c r="F59" s="10" t="s">
        <v>766</v>
      </c>
      <c r="G59" s="10" t="s">
        <v>768</v>
      </c>
      <c r="H59" s="10" t="s">
        <v>767</v>
      </c>
      <c r="I59" s="10" t="s">
        <v>1666</v>
      </c>
    </row>
    <row r="60" spans="1:9" ht="45.4" customHeight="1">
      <c r="A60" s="10" t="s">
        <v>43</v>
      </c>
      <c r="B60" s="10">
        <v>8</v>
      </c>
      <c r="C60" s="10" t="s">
        <v>771</v>
      </c>
      <c r="D60" s="10" t="s">
        <v>1902</v>
      </c>
      <c r="E60" s="10" t="s">
        <v>1903</v>
      </c>
      <c r="F60" s="10" t="s">
        <v>775</v>
      </c>
      <c r="G60" s="10" t="s">
        <v>777</v>
      </c>
      <c r="H60" s="10" t="s">
        <v>776</v>
      </c>
      <c r="I60" s="10" t="s">
        <v>1666</v>
      </c>
    </row>
    <row r="61" spans="1:9" ht="45.4" customHeight="1">
      <c r="A61" s="10" t="s">
        <v>43</v>
      </c>
      <c r="B61" s="10">
        <v>9</v>
      </c>
      <c r="C61" s="10" t="s">
        <v>778</v>
      </c>
      <c r="D61" s="10" t="s">
        <v>1904</v>
      </c>
      <c r="E61" s="10" t="s">
        <v>1905</v>
      </c>
      <c r="F61" s="10" t="s">
        <v>782</v>
      </c>
      <c r="G61" s="10" t="s">
        <v>784</v>
      </c>
      <c r="H61" s="10" t="s">
        <v>783</v>
      </c>
      <c r="I61" s="10" t="s">
        <v>1672</v>
      </c>
    </row>
    <row r="62" spans="1:9" ht="45.4" customHeight="1">
      <c r="A62" s="10" t="s">
        <v>43</v>
      </c>
      <c r="B62" s="10">
        <v>10</v>
      </c>
      <c r="C62" s="10" t="s">
        <v>786</v>
      </c>
      <c r="D62" s="10" t="s">
        <v>1717</v>
      </c>
      <c r="E62" s="10" t="s">
        <v>1906</v>
      </c>
      <c r="F62" s="10" t="s">
        <v>790</v>
      </c>
      <c r="G62" s="10" t="s">
        <v>792</v>
      </c>
      <c r="H62" s="10" t="s">
        <v>791</v>
      </c>
      <c r="I62" s="10" t="s">
        <v>1672</v>
      </c>
    </row>
    <row r="63" spans="1:9" ht="45.4" customHeight="1">
      <c r="A63" s="10" t="s">
        <v>43</v>
      </c>
      <c r="B63" s="10">
        <v>11</v>
      </c>
      <c r="C63" s="10" t="s">
        <v>794</v>
      </c>
      <c r="D63" s="10" t="s">
        <v>1907</v>
      </c>
      <c r="E63" s="10" t="s">
        <v>1908</v>
      </c>
      <c r="F63" s="10" t="s">
        <v>798</v>
      </c>
      <c r="G63" s="10" t="s">
        <v>800</v>
      </c>
      <c r="H63" s="10" t="s">
        <v>799</v>
      </c>
      <c r="I63" s="10" t="s">
        <v>1687</v>
      </c>
    </row>
    <row r="64" spans="1:9" ht="45.4" customHeight="1">
      <c r="A64" s="10" t="s">
        <v>43</v>
      </c>
      <c r="B64" s="10">
        <v>12</v>
      </c>
      <c r="C64" s="10" t="s">
        <v>802</v>
      </c>
      <c r="D64" s="10" t="s">
        <v>1909</v>
      </c>
      <c r="E64" s="10" t="s">
        <v>1910</v>
      </c>
      <c r="F64" s="10" t="s">
        <v>806</v>
      </c>
      <c r="G64" s="10" t="s">
        <v>808</v>
      </c>
      <c r="H64" s="10" t="s">
        <v>807</v>
      </c>
      <c r="I64" s="10" t="s">
        <v>1690</v>
      </c>
    </row>
    <row r="65" spans="1:9" ht="45.4" customHeight="1">
      <c r="A65" s="10" t="s">
        <v>43</v>
      </c>
      <c r="B65" s="10">
        <v>13</v>
      </c>
      <c r="C65" s="10" t="s">
        <v>810</v>
      </c>
      <c r="D65" s="10" t="s">
        <v>1911</v>
      </c>
      <c r="E65" s="10" t="s">
        <v>1912</v>
      </c>
      <c r="F65" s="10" t="s">
        <v>814</v>
      </c>
      <c r="G65" s="10" t="s">
        <v>816</v>
      </c>
      <c r="H65" s="10" t="s">
        <v>815</v>
      </c>
      <c r="I65" s="10" t="s">
        <v>1690</v>
      </c>
    </row>
    <row r="66" spans="1:9" ht="45.4" customHeight="1">
      <c r="A66" s="10" t="s">
        <v>43</v>
      </c>
      <c r="B66" s="10">
        <v>14</v>
      </c>
      <c r="C66" s="10" t="s">
        <v>818</v>
      </c>
      <c r="D66" s="10" t="s">
        <v>1913</v>
      </c>
      <c r="E66" s="10" t="s">
        <v>1914</v>
      </c>
      <c r="F66" s="10" t="s">
        <v>822</v>
      </c>
      <c r="G66" s="10" t="s">
        <v>824</v>
      </c>
      <c r="H66" s="10" t="s">
        <v>823</v>
      </c>
      <c r="I66" s="10" t="s">
        <v>1684</v>
      </c>
    </row>
    <row r="67" spans="1:9" ht="45.4" customHeight="1">
      <c r="A67" s="10" t="s">
        <v>43</v>
      </c>
      <c r="B67" s="10">
        <v>15</v>
      </c>
      <c r="C67" s="10" t="s">
        <v>827</v>
      </c>
      <c r="D67" s="10" t="s">
        <v>1915</v>
      </c>
      <c r="E67" s="10" t="s">
        <v>1916</v>
      </c>
      <c r="F67" s="10" t="s">
        <v>831</v>
      </c>
      <c r="G67" s="10" t="s">
        <v>833</v>
      </c>
      <c r="H67" s="10" t="s">
        <v>832</v>
      </c>
      <c r="I67" s="10" t="s">
        <v>1807</v>
      </c>
    </row>
    <row r="68" spans="1:9" ht="45.4" customHeight="1">
      <c r="A68" s="10" t="s">
        <v>43</v>
      </c>
      <c r="B68" s="10">
        <v>16</v>
      </c>
      <c r="C68" s="10" t="s">
        <v>835</v>
      </c>
      <c r="D68" s="10" t="s">
        <v>1718</v>
      </c>
      <c r="E68" s="10" t="s">
        <v>1917</v>
      </c>
      <c r="F68" s="10" t="s">
        <v>839</v>
      </c>
      <c r="G68" s="10" t="s">
        <v>841</v>
      </c>
      <c r="H68" s="10" t="s">
        <v>840</v>
      </c>
      <c r="I68" s="10" t="s">
        <v>1807</v>
      </c>
    </row>
    <row r="69" spans="1:9" ht="45.4" customHeight="1">
      <c r="A69" s="10" t="s">
        <v>50</v>
      </c>
      <c r="B69" s="10">
        <v>1</v>
      </c>
      <c r="C69" s="10" t="s">
        <v>843</v>
      </c>
      <c r="D69" s="10" t="s">
        <v>1918</v>
      </c>
      <c r="E69" s="10" t="s">
        <v>1919</v>
      </c>
      <c r="F69" s="10" t="s">
        <v>847</v>
      </c>
      <c r="G69" s="10" t="s">
        <v>849</v>
      </c>
      <c r="H69" s="10" t="s">
        <v>848</v>
      </c>
      <c r="I69" s="10" t="s">
        <v>1675</v>
      </c>
    </row>
    <row r="70" spans="1:9" ht="45.4" customHeight="1">
      <c r="A70" s="10" t="s">
        <v>50</v>
      </c>
      <c r="B70" s="10">
        <v>2</v>
      </c>
      <c r="C70" s="10" t="s">
        <v>852</v>
      </c>
      <c r="D70" s="10" t="s">
        <v>1920</v>
      </c>
      <c r="E70" s="10" t="s">
        <v>1921</v>
      </c>
      <c r="F70" s="10" t="s">
        <v>856</v>
      </c>
      <c r="G70" s="10" t="s">
        <v>858</v>
      </c>
      <c r="H70" s="10" t="s">
        <v>857</v>
      </c>
      <c r="I70" s="10" t="s">
        <v>1675</v>
      </c>
    </row>
    <row r="71" spans="1:9" ht="45.4" customHeight="1">
      <c r="A71" s="10" t="s">
        <v>50</v>
      </c>
      <c r="B71" s="10">
        <v>3</v>
      </c>
      <c r="C71" s="10" t="s">
        <v>860</v>
      </c>
      <c r="D71" s="10" t="s">
        <v>1922</v>
      </c>
      <c r="E71" s="10" t="s">
        <v>1923</v>
      </c>
      <c r="F71" s="10" t="s">
        <v>864</v>
      </c>
      <c r="G71" s="10" t="s">
        <v>866</v>
      </c>
      <c r="H71" s="10" t="s">
        <v>865</v>
      </c>
      <c r="I71" s="10" t="s">
        <v>1807</v>
      </c>
    </row>
    <row r="72" spans="1:9" ht="45.4" customHeight="1">
      <c r="A72" s="10" t="s">
        <v>50</v>
      </c>
      <c r="B72" s="10">
        <v>4</v>
      </c>
      <c r="C72" s="10" t="s">
        <v>868</v>
      </c>
      <c r="D72" s="10" t="s">
        <v>1924</v>
      </c>
      <c r="E72" s="10" t="s">
        <v>1925</v>
      </c>
      <c r="F72" s="10" t="s">
        <v>872</v>
      </c>
      <c r="G72" s="10" t="s">
        <v>874</v>
      </c>
      <c r="H72" s="10" t="s">
        <v>873</v>
      </c>
      <c r="I72" s="10" t="s">
        <v>1807</v>
      </c>
    </row>
    <row r="73" spans="1:9" ht="45.4" customHeight="1">
      <c r="A73" s="10" t="s">
        <v>50</v>
      </c>
      <c r="B73" s="10">
        <v>5</v>
      </c>
      <c r="C73" s="10" t="s">
        <v>876</v>
      </c>
      <c r="D73" s="10" t="s">
        <v>1719</v>
      </c>
      <c r="E73" s="10" t="s">
        <v>1926</v>
      </c>
      <c r="F73" s="10" t="s">
        <v>880</v>
      </c>
      <c r="G73" s="10" t="s">
        <v>882</v>
      </c>
      <c r="H73" s="10" t="s">
        <v>881</v>
      </c>
      <c r="I73" s="10" t="s">
        <v>1675</v>
      </c>
    </row>
    <row r="74" spans="1:9" ht="45.4" customHeight="1">
      <c r="A74" s="10" t="s">
        <v>50</v>
      </c>
      <c r="B74" s="10">
        <v>6</v>
      </c>
      <c r="C74" s="10" t="s">
        <v>884</v>
      </c>
      <c r="D74" s="10" t="s">
        <v>1927</v>
      </c>
      <c r="E74" s="10" t="s">
        <v>1928</v>
      </c>
      <c r="F74" s="10" t="s">
        <v>888</v>
      </c>
      <c r="G74" s="10" t="s">
        <v>890</v>
      </c>
      <c r="H74" s="10" t="s">
        <v>889</v>
      </c>
      <c r="I74" s="10" t="s">
        <v>1675</v>
      </c>
    </row>
    <row r="75" spans="1:9" ht="45.4" customHeight="1">
      <c r="A75" s="10" t="s">
        <v>50</v>
      </c>
      <c r="B75" s="10">
        <v>7</v>
      </c>
      <c r="C75" s="10" t="s">
        <v>892</v>
      </c>
      <c r="D75" s="10" t="s">
        <v>1929</v>
      </c>
      <c r="E75" s="10" t="s">
        <v>1930</v>
      </c>
      <c r="F75" s="10" t="s">
        <v>896</v>
      </c>
      <c r="G75" s="10" t="s">
        <v>898</v>
      </c>
      <c r="H75" s="10" t="s">
        <v>897</v>
      </c>
      <c r="I75" s="10" t="s">
        <v>1678</v>
      </c>
    </row>
    <row r="76" spans="1:9" ht="45.4" customHeight="1">
      <c r="A76" s="10" t="s">
        <v>50</v>
      </c>
      <c r="B76" s="10">
        <v>8</v>
      </c>
      <c r="C76" s="10" t="s">
        <v>900</v>
      </c>
      <c r="D76" s="10" t="s">
        <v>1931</v>
      </c>
      <c r="E76" s="10" t="s">
        <v>1932</v>
      </c>
      <c r="F76" s="10" t="s">
        <v>904</v>
      </c>
      <c r="G76" s="10" t="s">
        <v>906</v>
      </c>
      <c r="H76" s="10" t="s">
        <v>905</v>
      </c>
      <c r="I76" s="10" t="s">
        <v>1678</v>
      </c>
    </row>
    <row r="77" spans="1:9" ht="45.4" customHeight="1">
      <c r="A77" s="10" t="s">
        <v>50</v>
      </c>
      <c r="B77" s="10">
        <v>9</v>
      </c>
      <c r="C77" s="10" t="s">
        <v>908</v>
      </c>
      <c r="D77" s="10" t="s">
        <v>1933</v>
      </c>
      <c r="E77" s="10" t="s">
        <v>1934</v>
      </c>
      <c r="F77" s="10" t="s">
        <v>912</v>
      </c>
      <c r="G77" s="10" t="s">
        <v>914</v>
      </c>
      <c r="H77" s="10" t="s">
        <v>913</v>
      </c>
      <c r="I77" s="10" t="s">
        <v>1678</v>
      </c>
    </row>
    <row r="78" spans="1:9" ht="45.4" customHeight="1">
      <c r="A78" s="10" t="s">
        <v>50</v>
      </c>
      <c r="B78" s="10">
        <v>10</v>
      </c>
      <c r="C78" s="10" t="s">
        <v>915</v>
      </c>
      <c r="D78" s="10" t="s">
        <v>1720</v>
      </c>
      <c r="E78" s="10" t="s">
        <v>1935</v>
      </c>
      <c r="F78" s="10" t="s">
        <v>919</v>
      </c>
      <c r="G78" s="10" t="s">
        <v>921</v>
      </c>
      <c r="H78" s="10" t="s">
        <v>920</v>
      </c>
      <c r="I78" s="10" t="s">
        <v>1807</v>
      </c>
    </row>
    <row r="79" spans="1:9" ht="45.4" customHeight="1">
      <c r="A79" s="10" t="s">
        <v>50</v>
      </c>
      <c r="B79" s="10">
        <v>11</v>
      </c>
      <c r="C79" s="10" t="s">
        <v>923</v>
      </c>
      <c r="D79" s="10" t="s">
        <v>1936</v>
      </c>
      <c r="E79" s="10" t="s">
        <v>1937</v>
      </c>
      <c r="F79" s="10" t="s">
        <v>927</v>
      </c>
      <c r="G79" s="10" t="s">
        <v>929</v>
      </c>
      <c r="H79" s="10" t="s">
        <v>928</v>
      </c>
      <c r="I79" s="10" t="s">
        <v>1681</v>
      </c>
    </row>
    <row r="80" spans="1:9" ht="45.4" customHeight="1">
      <c r="A80" s="10" t="s">
        <v>50</v>
      </c>
      <c r="B80" s="10">
        <v>12</v>
      </c>
      <c r="C80" s="10" t="s">
        <v>931</v>
      </c>
      <c r="D80" s="10" t="s">
        <v>1938</v>
      </c>
      <c r="E80" s="10" t="s">
        <v>1939</v>
      </c>
      <c r="F80" s="10" t="s">
        <v>935</v>
      </c>
      <c r="G80" s="10" t="s">
        <v>937</v>
      </c>
      <c r="H80" s="10" t="s">
        <v>936</v>
      </c>
      <c r="I80" s="10" t="s">
        <v>1681</v>
      </c>
    </row>
    <row r="81" spans="1:9" ht="45.4" customHeight="1">
      <c r="A81" s="10" t="s">
        <v>50</v>
      </c>
      <c r="B81" s="10">
        <v>13</v>
      </c>
      <c r="C81" s="10" t="s">
        <v>939</v>
      </c>
      <c r="D81" s="10" t="s">
        <v>1940</v>
      </c>
      <c r="E81" s="10" t="s">
        <v>1941</v>
      </c>
      <c r="F81" s="10" t="s">
        <v>943</v>
      </c>
      <c r="G81" s="10" t="s">
        <v>945</v>
      </c>
      <c r="H81" s="10" t="s">
        <v>944</v>
      </c>
      <c r="I81" s="10" t="s">
        <v>1681</v>
      </c>
    </row>
    <row r="82" spans="1:9" ht="45.4" customHeight="1">
      <c r="A82" s="10" t="s">
        <v>50</v>
      </c>
      <c r="B82" s="10">
        <v>14</v>
      </c>
      <c r="C82" s="10" t="s">
        <v>947</v>
      </c>
      <c r="D82" s="10" t="s">
        <v>1942</v>
      </c>
      <c r="E82" s="10" t="s">
        <v>1943</v>
      </c>
      <c r="F82" s="10" t="s">
        <v>951</v>
      </c>
      <c r="G82" s="10" t="s">
        <v>953</v>
      </c>
      <c r="H82" s="10" t="s">
        <v>952</v>
      </c>
      <c r="I82" s="10" t="s">
        <v>1807</v>
      </c>
    </row>
    <row r="83" spans="1:9" ht="45.4" customHeight="1">
      <c r="A83" s="10" t="s">
        <v>50</v>
      </c>
      <c r="B83" s="10">
        <v>15</v>
      </c>
      <c r="C83" s="10" t="s">
        <v>955</v>
      </c>
      <c r="D83" s="10" t="s">
        <v>1944</v>
      </c>
      <c r="E83" s="10" t="s">
        <v>1945</v>
      </c>
      <c r="F83" s="10" t="s">
        <v>959</v>
      </c>
      <c r="G83" s="10" t="s">
        <v>961</v>
      </c>
      <c r="H83" s="10" t="s">
        <v>960</v>
      </c>
      <c r="I83" s="10" t="s">
        <v>1807</v>
      </c>
    </row>
    <row r="84" spans="1:9" ht="45.4" customHeight="1">
      <c r="A84" s="10" t="s">
        <v>50</v>
      </c>
      <c r="B84" s="10">
        <v>16</v>
      </c>
      <c r="C84" s="10" t="s">
        <v>963</v>
      </c>
      <c r="D84" s="10" t="s">
        <v>1721</v>
      </c>
      <c r="E84" s="10" t="s">
        <v>1946</v>
      </c>
      <c r="F84" s="10" t="s">
        <v>967</v>
      </c>
      <c r="G84" s="10" t="s">
        <v>969</v>
      </c>
      <c r="H84" s="10" t="s">
        <v>968</v>
      </c>
      <c r="I84" s="10" t="s">
        <v>1807</v>
      </c>
    </row>
    <row r="85" spans="1:9" ht="45.4" customHeight="1">
      <c r="A85" s="10" t="s">
        <v>58</v>
      </c>
      <c r="B85" s="10">
        <v>1</v>
      </c>
      <c r="C85" s="10" t="s">
        <v>971</v>
      </c>
      <c r="D85" s="10" t="s">
        <v>1947</v>
      </c>
      <c r="E85" s="10" t="s">
        <v>1948</v>
      </c>
      <c r="F85" s="10" t="s">
        <v>975</v>
      </c>
      <c r="G85" s="10" t="s">
        <v>977</v>
      </c>
      <c r="H85" s="10" t="s">
        <v>976</v>
      </c>
      <c r="I85" s="10" t="s">
        <v>1807</v>
      </c>
    </row>
    <row r="86" spans="1:9" ht="45.4" customHeight="1">
      <c r="A86" s="10" t="s">
        <v>58</v>
      </c>
      <c r="B86" s="10">
        <v>2</v>
      </c>
      <c r="C86" s="10" t="s">
        <v>980</v>
      </c>
      <c r="D86" s="10" t="s">
        <v>1949</v>
      </c>
      <c r="E86" s="10" t="s">
        <v>1950</v>
      </c>
      <c r="F86" s="10" t="s">
        <v>984</v>
      </c>
      <c r="G86" s="10" t="s">
        <v>986</v>
      </c>
      <c r="H86" s="10" t="s">
        <v>985</v>
      </c>
      <c r="I86" s="10" t="s">
        <v>1807</v>
      </c>
    </row>
    <row r="87" spans="1:9" ht="45.4" customHeight="1">
      <c r="A87" s="10" t="s">
        <v>58</v>
      </c>
      <c r="B87" s="10">
        <v>3</v>
      </c>
      <c r="C87" s="10" t="s">
        <v>988</v>
      </c>
      <c r="D87" s="10" t="s">
        <v>1951</v>
      </c>
      <c r="E87" s="10" t="s">
        <v>1952</v>
      </c>
      <c r="F87" s="10" t="s">
        <v>992</v>
      </c>
      <c r="G87" s="10" t="s">
        <v>994</v>
      </c>
      <c r="H87" s="10" t="s">
        <v>993</v>
      </c>
      <c r="I87" s="10" t="s">
        <v>1807</v>
      </c>
    </row>
    <row r="88" spans="1:9" ht="45.4" customHeight="1">
      <c r="A88" s="10" t="s">
        <v>58</v>
      </c>
      <c r="B88" s="10">
        <v>4</v>
      </c>
      <c r="C88" s="10" t="s">
        <v>996</v>
      </c>
      <c r="D88" s="10" t="s">
        <v>1953</v>
      </c>
      <c r="E88" s="10" t="s">
        <v>1954</v>
      </c>
      <c r="F88" s="10" t="s">
        <v>1000</v>
      </c>
      <c r="G88" s="10" t="s">
        <v>1002</v>
      </c>
      <c r="H88" s="10" t="s">
        <v>1001</v>
      </c>
      <c r="I88" s="10" t="s">
        <v>1807</v>
      </c>
    </row>
    <row r="89" spans="1:9" ht="45.4" customHeight="1">
      <c r="A89" s="10" t="s">
        <v>58</v>
      </c>
      <c r="B89" s="10">
        <v>5</v>
      </c>
      <c r="C89" s="10" t="s">
        <v>1004</v>
      </c>
      <c r="D89" s="10" t="s">
        <v>1722</v>
      </c>
      <c r="E89" s="10" t="s">
        <v>1955</v>
      </c>
      <c r="F89" s="10" t="s">
        <v>1008</v>
      </c>
      <c r="G89" s="10" t="s">
        <v>1010</v>
      </c>
      <c r="H89" s="10" t="s">
        <v>1009</v>
      </c>
      <c r="I89" s="10" t="s">
        <v>1807</v>
      </c>
    </row>
    <row r="90" spans="1:9" ht="45.4" customHeight="1">
      <c r="A90" s="10" t="s">
        <v>58</v>
      </c>
      <c r="B90" s="10">
        <v>6</v>
      </c>
      <c r="C90" s="10" t="s">
        <v>1012</v>
      </c>
      <c r="D90" s="10" t="s">
        <v>1956</v>
      </c>
      <c r="E90" s="10" t="s">
        <v>1957</v>
      </c>
      <c r="F90" s="10" t="s">
        <v>1016</v>
      </c>
      <c r="G90" s="10" t="s">
        <v>1018</v>
      </c>
      <c r="H90" s="10" t="s">
        <v>1017</v>
      </c>
      <c r="I90" s="10" t="s">
        <v>1807</v>
      </c>
    </row>
    <row r="91" spans="1:9" ht="45.4" customHeight="1">
      <c r="A91" s="10" t="s">
        <v>58</v>
      </c>
      <c r="B91" s="10">
        <v>7</v>
      </c>
      <c r="C91" s="10" t="s">
        <v>1019</v>
      </c>
      <c r="D91" s="10" t="s">
        <v>1958</v>
      </c>
      <c r="E91" s="10" t="s">
        <v>1959</v>
      </c>
      <c r="F91" s="10" t="s">
        <v>1023</v>
      </c>
      <c r="G91" s="10" t="s">
        <v>1025</v>
      </c>
      <c r="H91" s="10" t="s">
        <v>1024</v>
      </c>
      <c r="I91" s="10" t="s">
        <v>1807</v>
      </c>
    </row>
    <row r="92" spans="1:9" ht="45.4" customHeight="1">
      <c r="A92" s="10" t="s">
        <v>58</v>
      </c>
      <c r="B92" s="10">
        <v>8</v>
      </c>
      <c r="C92" s="10" t="s">
        <v>1027</v>
      </c>
      <c r="D92" s="10" t="s">
        <v>1960</v>
      </c>
      <c r="E92" s="10" t="s">
        <v>1961</v>
      </c>
      <c r="F92" s="10" t="s">
        <v>1031</v>
      </c>
      <c r="G92" s="10" t="s">
        <v>1033</v>
      </c>
      <c r="H92" s="10" t="s">
        <v>1032</v>
      </c>
      <c r="I92" s="10" t="s">
        <v>1807</v>
      </c>
    </row>
    <row r="93" spans="1:9" ht="45.4" customHeight="1">
      <c r="A93" s="10" t="s">
        <v>58</v>
      </c>
      <c r="B93" s="10">
        <v>9</v>
      </c>
      <c r="C93" s="10" t="s">
        <v>1035</v>
      </c>
      <c r="D93" s="10" t="s">
        <v>1962</v>
      </c>
      <c r="E93" s="10" t="s">
        <v>1963</v>
      </c>
      <c r="F93" s="10" t="s">
        <v>1039</v>
      </c>
      <c r="G93" s="10" t="s">
        <v>1041</v>
      </c>
      <c r="H93" s="10" t="s">
        <v>1040</v>
      </c>
      <c r="I93" s="10" t="s">
        <v>1807</v>
      </c>
    </row>
    <row r="94" spans="1:9" ht="45.4" customHeight="1">
      <c r="A94" s="10" t="s">
        <v>58</v>
      </c>
      <c r="B94" s="10">
        <v>10</v>
      </c>
      <c r="C94" s="10" t="s">
        <v>1043</v>
      </c>
      <c r="D94" s="10" t="s">
        <v>1964</v>
      </c>
      <c r="E94" s="10" t="s">
        <v>1965</v>
      </c>
      <c r="F94" s="10" t="s">
        <v>1047</v>
      </c>
      <c r="G94" s="10" t="s">
        <v>1049</v>
      </c>
      <c r="H94" s="10" t="s">
        <v>1048</v>
      </c>
      <c r="I94" s="10" t="s">
        <v>1807</v>
      </c>
    </row>
    <row r="95" spans="1:9" ht="45.4" customHeight="1">
      <c r="A95" s="10" t="s">
        <v>58</v>
      </c>
      <c r="B95" s="10">
        <v>11</v>
      </c>
      <c r="C95" s="10" t="s">
        <v>1051</v>
      </c>
      <c r="D95" s="10" t="s">
        <v>1966</v>
      </c>
      <c r="E95" s="10" t="s">
        <v>1967</v>
      </c>
      <c r="F95" s="10" t="s">
        <v>1055</v>
      </c>
      <c r="G95" s="10" t="s">
        <v>1057</v>
      </c>
      <c r="H95" s="10" t="s">
        <v>1056</v>
      </c>
      <c r="I95" s="10" t="s">
        <v>1807</v>
      </c>
    </row>
    <row r="96" spans="1:9" ht="45.4" customHeight="1">
      <c r="A96" s="10" t="s">
        <v>58</v>
      </c>
      <c r="B96" s="10">
        <v>12</v>
      </c>
      <c r="C96" s="10" t="s">
        <v>1059</v>
      </c>
      <c r="D96" s="10" t="s">
        <v>1723</v>
      </c>
      <c r="E96" s="10" t="s">
        <v>1968</v>
      </c>
      <c r="F96" s="10" t="s">
        <v>1063</v>
      </c>
      <c r="G96" s="10" t="s">
        <v>1065</v>
      </c>
      <c r="H96" s="10" t="s">
        <v>1064</v>
      </c>
      <c r="I96" s="10" t="s">
        <v>1807</v>
      </c>
    </row>
    <row r="97" spans="1:9" ht="45.4" customHeight="1">
      <c r="A97" s="10" t="s">
        <v>58</v>
      </c>
      <c r="B97" s="10">
        <v>13</v>
      </c>
      <c r="C97" s="10" t="s">
        <v>1067</v>
      </c>
      <c r="D97" s="10" t="s">
        <v>1969</v>
      </c>
      <c r="E97" s="10" t="s">
        <v>1970</v>
      </c>
      <c r="F97" s="10" t="s">
        <v>1071</v>
      </c>
      <c r="G97" s="10" t="s">
        <v>1073</v>
      </c>
      <c r="H97" s="10" t="s">
        <v>1072</v>
      </c>
      <c r="I97" s="10" t="s">
        <v>1807</v>
      </c>
    </row>
    <row r="98" spans="1:9" ht="45.4" customHeight="1">
      <c r="A98" s="10" t="s">
        <v>58</v>
      </c>
      <c r="B98" s="10">
        <v>14</v>
      </c>
      <c r="C98" s="10" t="s">
        <v>1075</v>
      </c>
      <c r="D98" s="10" t="s">
        <v>1971</v>
      </c>
      <c r="E98" s="10" t="s">
        <v>1972</v>
      </c>
      <c r="F98" s="10" t="s">
        <v>1079</v>
      </c>
      <c r="G98" s="10" t="s">
        <v>1081</v>
      </c>
      <c r="H98" s="10" t="s">
        <v>1080</v>
      </c>
      <c r="I98" s="10" t="s">
        <v>1807</v>
      </c>
    </row>
    <row r="99" spans="1:9" ht="45.4" customHeight="1">
      <c r="A99" s="10" t="s">
        <v>58</v>
      </c>
      <c r="B99" s="10">
        <v>15</v>
      </c>
      <c r="C99" s="10" t="s">
        <v>1083</v>
      </c>
      <c r="D99" s="10" t="s">
        <v>1973</v>
      </c>
      <c r="E99" s="10" t="s">
        <v>1974</v>
      </c>
      <c r="F99" s="10" t="s">
        <v>1087</v>
      </c>
      <c r="G99" s="10" t="s">
        <v>1089</v>
      </c>
      <c r="H99" s="10" t="s">
        <v>1088</v>
      </c>
      <c r="I99" s="10" t="s">
        <v>1807</v>
      </c>
    </row>
    <row r="100" spans="1:9" ht="45.4" customHeight="1">
      <c r="A100" s="10" t="s">
        <v>58</v>
      </c>
      <c r="B100" s="10">
        <v>16</v>
      </c>
      <c r="C100" s="10" t="s">
        <v>1091</v>
      </c>
      <c r="D100" s="10" t="s">
        <v>1724</v>
      </c>
      <c r="E100" s="10" t="s">
        <v>1975</v>
      </c>
      <c r="F100" s="10" t="s">
        <v>1095</v>
      </c>
      <c r="G100" s="10" t="s">
        <v>1097</v>
      </c>
      <c r="H100" s="10" t="s">
        <v>1096</v>
      </c>
      <c r="I100" s="10" t="s">
        <v>1807</v>
      </c>
    </row>
  </sheetData>
  <mergeCells count="2">
    <mergeCell ref="A1:I1"/>
    <mergeCell ref="A2:I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8"/>
  <sheetViews>
    <sheetView workbookViewId="0">
      <selection sqref="A1:G1"/>
    </sheetView>
  </sheetViews>
  <sheetFormatPr defaultRowHeight="14"/>
  <cols>
    <col min="1" max="1" width="28" customWidth="1"/>
    <col min="2" max="5" width="39" customWidth="1"/>
    <col min="6" max="7" width="49" customWidth="1"/>
  </cols>
  <sheetData>
    <row r="1" spans="1:7" ht="25.4" customHeight="1">
      <c r="A1" s="74" t="s">
        <v>1976</v>
      </c>
      <c r="B1" s="74"/>
      <c r="C1" s="74"/>
      <c r="D1" s="74"/>
      <c r="E1" s="74"/>
      <c r="F1" s="74"/>
      <c r="G1" s="74"/>
    </row>
    <row r="2" spans="1:7" ht="30.65" customHeight="1">
      <c r="A2" s="75" t="s">
        <v>1977</v>
      </c>
      <c r="B2" s="75"/>
      <c r="C2" s="75"/>
      <c r="D2" s="75"/>
      <c r="E2" s="75"/>
      <c r="F2" s="75"/>
      <c r="G2" s="75"/>
    </row>
    <row r="4" spans="1:7" ht="25.4" customHeight="1">
      <c r="A4" s="59" t="s">
        <v>1978</v>
      </c>
      <c r="B4" s="59" t="s">
        <v>1979</v>
      </c>
      <c r="C4" s="59" t="s">
        <v>1980</v>
      </c>
      <c r="D4" s="59" t="s">
        <v>1981</v>
      </c>
      <c r="E4" s="59" t="s">
        <v>1982</v>
      </c>
      <c r="F4" s="59" t="s">
        <v>1983</v>
      </c>
      <c r="G4" s="59" t="s">
        <v>1984</v>
      </c>
    </row>
    <row r="5" spans="1:7" ht="45.4" customHeight="1">
      <c r="A5" s="10" t="s">
        <v>1985</v>
      </c>
      <c r="B5" s="10" t="s">
        <v>1986</v>
      </c>
      <c r="C5" s="10" t="s">
        <v>1987</v>
      </c>
      <c r="D5" s="10" t="s">
        <v>1988</v>
      </c>
      <c r="E5" s="10" t="s">
        <v>1989</v>
      </c>
      <c r="F5" s="10" t="s">
        <v>1990</v>
      </c>
      <c r="G5" s="10" t="s">
        <v>1991</v>
      </c>
    </row>
    <row r="6" spans="1:7" ht="45.4" customHeight="1">
      <c r="A6" s="10" t="s">
        <v>1992</v>
      </c>
      <c r="B6" s="10" t="s">
        <v>1993</v>
      </c>
      <c r="C6" s="10" t="s">
        <v>1994</v>
      </c>
      <c r="D6" s="10" t="s">
        <v>1995</v>
      </c>
      <c r="E6" s="10" t="s">
        <v>1996</v>
      </c>
      <c r="F6" s="10" t="s">
        <v>1997</v>
      </c>
      <c r="G6" s="10" t="s">
        <v>1998</v>
      </c>
    </row>
    <row r="7" spans="1:7" ht="45.4" customHeight="1">
      <c r="A7" s="10" t="s">
        <v>1999</v>
      </c>
      <c r="B7" s="10" t="s">
        <v>2000</v>
      </c>
      <c r="C7" s="10" t="s">
        <v>2001</v>
      </c>
      <c r="D7" s="10" t="s">
        <v>2002</v>
      </c>
      <c r="E7" s="10" t="s">
        <v>2003</v>
      </c>
      <c r="F7" s="10" t="s">
        <v>2004</v>
      </c>
      <c r="G7" s="10" t="s">
        <v>2005</v>
      </c>
    </row>
    <row r="8" spans="1:7" ht="45.4" customHeight="1">
      <c r="A8" s="10" t="s">
        <v>2006</v>
      </c>
      <c r="B8" s="10" t="s">
        <v>2007</v>
      </c>
      <c r="C8" s="10" t="s">
        <v>2008</v>
      </c>
      <c r="D8" s="10" t="s">
        <v>2009</v>
      </c>
      <c r="E8" s="10" t="s">
        <v>2010</v>
      </c>
      <c r="F8" s="10" t="s">
        <v>2011</v>
      </c>
      <c r="G8" s="10" t="s">
        <v>2012</v>
      </c>
    </row>
    <row r="9" spans="1:7" ht="45.4" customHeight="1">
      <c r="A9" s="10" t="s">
        <v>2013</v>
      </c>
      <c r="B9" s="10" t="s">
        <v>2014</v>
      </c>
      <c r="C9" s="10" t="s">
        <v>2015</v>
      </c>
      <c r="D9" s="10" t="s">
        <v>2016</v>
      </c>
      <c r="E9" s="10" t="s">
        <v>2017</v>
      </c>
      <c r="F9" s="10" t="s">
        <v>2018</v>
      </c>
      <c r="G9" s="10" t="s">
        <v>2019</v>
      </c>
    </row>
    <row r="10" spans="1:7" ht="45.4" customHeight="1">
      <c r="A10" s="10" t="s">
        <v>2020</v>
      </c>
      <c r="B10" s="10" t="s">
        <v>1988</v>
      </c>
      <c r="C10" s="10" t="s">
        <v>2021</v>
      </c>
      <c r="D10" s="10" t="s">
        <v>2022</v>
      </c>
      <c r="E10" s="10" t="s">
        <v>2023</v>
      </c>
      <c r="F10" s="10" t="s">
        <v>2024</v>
      </c>
      <c r="G10" s="10" t="s">
        <v>2025</v>
      </c>
    </row>
    <row r="11" spans="1:7" ht="45.4" customHeight="1">
      <c r="A11" s="10" t="s">
        <v>2026</v>
      </c>
      <c r="B11" s="10" t="s">
        <v>2027</v>
      </c>
      <c r="C11" s="10" t="s">
        <v>2028</v>
      </c>
      <c r="D11" s="10" t="s">
        <v>2029</v>
      </c>
      <c r="E11" s="10" t="s">
        <v>2030</v>
      </c>
      <c r="F11" s="10" t="s">
        <v>2031</v>
      </c>
      <c r="G11" s="10" t="s">
        <v>2032</v>
      </c>
    </row>
    <row r="12" spans="1:7" ht="45.4" customHeight="1">
      <c r="A12" s="10" t="s">
        <v>2033</v>
      </c>
      <c r="B12" s="10" t="s">
        <v>2034</v>
      </c>
      <c r="C12" s="10" t="s">
        <v>2035</v>
      </c>
      <c r="D12" s="10" t="s">
        <v>2036</v>
      </c>
      <c r="E12" s="10" t="s">
        <v>2037</v>
      </c>
      <c r="F12" s="10" t="s">
        <v>2038</v>
      </c>
      <c r="G12" s="10" t="s">
        <v>2039</v>
      </c>
    </row>
    <row r="13" spans="1:7" ht="45.4" customHeight="1">
      <c r="A13" s="10" t="s">
        <v>2040</v>
      </c>
      <c r="B13" s="10" t="s">
        <v>2041</v>
      </c>
      <c r="C13" s="10" t="s">
        <v>2042</v>
      </c>
      <c r="D13" s="10" t="s">
        <v>2043</v>
      </c>
      <c r="E13" s="10" t="s">
        <v>2044</v>
      </c>
      <c r="F13" s="10" t="s">
        <v>2045</v>
      </c>
      <c r="G13" s="10" t="s">
        <v>2046</v>
      </c>
    </row>
    <row r="14" spans="1:7" ht="45.4" customHeight="1">
      <c r="A14" s="10" t="s">
        <v>2047</v>
      </c>
      <c r="B14" s="10" t="s">
        <v>2048</v>
      </c>
      <c r="C14" s="10" t="s">
        <v>2049</v>
      </c>
      <c r="D14" s="10" t="s">
        <v>2050</v>
      </c>
      <c r="E14" s="10" t="s">
        <v>2051</v>
      </c>
      <c r="F14" s="10" t="s">
        <v>2052</v>
      </c>
      <c r="G14" s="10" t="s">
        <v>2053</v>
      </c>
    </row>
    <row r="15" spans="1:7" ht="45.4" customHeight="1">
      <c r="A15" s="10" t="s">
        <v>2054</v>
      </c>
      <c r="B15" s="10" t="s">
        <v>2055</v>
      </c>
      <c r="C15" s="10" t="s">
        <v>2056</v>
      </c>
      <c r="D15" s="10" t="s">
        <v>2057</v>
      </c>
      <c r="E15" s="10" t="s">
        <v>2058</v>
      </c>
      <c r="F15" s="10" t="s">
        <v>2059</v>
      </c>
      <c r="G15" s="10" t="s">
        <v>2060</v>
      </c>
    </row>
    <row r="16" spans="1:7" ht="45.4" customHeight="1">
      <c r="A16" s="10" t="s">
        <v>2061</v>
      </c>
      <c r="B16" s="10" t="s">
        <v>2062</v>
      </c>
      <c r="C16" s="10" t="s">
        <v>2063</v>
      </c>
      <c r="D16" s="10" t="s">
        <v>2064</v>
      </c>
      <c r="E16" s="10" t="s">
        <v>2065</v>
      </c>
      <c r="F16" s="10" t="s">
        <v>2066</v>
      </c>
      <c r="G16" s="10" t="s">
        <v>2067</v>
      </c>
    </row>
    <row r="17" spans="1:7" ht="45.4" customHeight="1">
      <c r="A17" s="10" t="s">
        <v>95</v>
      </c>
      <c r="B17" s="10" t="s">
        <v>2068</v>
      </c>
      <c r="C17" s="10" t="s">
        <v>2069</v>
      </c>
      <c r="D17" s="10" t="s">
        <v>2070</v>
      </c>
      <c r="E17" s="10" t="s">
        <v>2071</v>
      </c>
      <c r="F17" s="10" t="s">
        <v>2072</v>
      </c>
      <c r="G17" s="10" t="s">
        <v>2073</v>
      </c>
    </row>
    <row r="18" spans="1:7" ht="45.4" customHeight="1">
      <c r="A18" s="10" t="s">
        <v>2074</v>
      </c>
      <c r="B18" s="10" t="s">
        <v>2075</v>
      </c>
      <c r="C18" s="10" t="s">
        <v>2076</v>
      </c>
      <c r="D18" s="10" t="s">
        <v>2077</v>
      </c>
      <c r="E18" s="10" t="s">
        <v>2078</v>
      </c>
      <c r="F18" s="10" t="s">
        <v>2079</v>
      </c>
      <c r="G18" s="10" t="s">
        <v>2080</v>
      </c>
    </row>
  </sheetData>
  <mergeCells count="2">
    <mergeCell ref="A1:G1"/>
    <mergeCell ref="A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Tổng quan</vt:lpstr>
      <vt:lpstr>Học cụ &amp; nền tảng</vt:lpstr>
      <vt:lpstr>Ma trận kiến thức</vt:lpstr>
      <vt:lpstr>Toàn bộ 96 buổi</vt:lpstr>
      <vt:lpstr>K01 Nhà lập trình nhí</vt:lpstr>
      <vt:lpstr>K02 Sensor Lab</vt:lpstr>
      <vt:lpstr>K03 Smart Home</vt:lpstr>
      <vt:lpstr>K04 Mechanical Maker</vt:lpstr>
      <vt:lpstr>K05 Robotics</vt:lpstr>
      <vt:lpstr>K06 Inventor Lab</vt:lpstr>
      <vt:lpstr>Nguồn tham khảo</vt:lpstr>
      <vt:lpstr>Lịch ôn &amp; bài test</vt:lpstr>
      <vt:lpstr>Rubric 5 năng lực</vt:lpstr>
      <vt:lpstr>Phiếu theo dõi học viên</vt:lpstr>
      <vt:lpstr>Bài tập thực hành 96 buổi</vt:lpstr>
      <vt:lpstr>Bản đồ ôn xoắn ốc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Thang Bui</dc:creator>
  <cp:lastModifiedBy>Bui Tan Thang</cp:lastModifiedBy>
  <dcterms:created xsi:type="dcterms:W3CDTF">2026-09-30T13:55:25Z</dcterms:created>
  <dcterms:modified xsi:type="dcterms:W3CDTF">2026-09-30T13:55:25Z</dcterms:modified>
</cp:coreProperties>
</file>