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Tổng quan" sheetId="1" r:id="rId4"/>
    <sheet state="visible" name="Học cụ &amp; nền tảng" sheetId="2" r:id="rId5"/>
    <sheet state="visible" name="Toàn bộ 60 buổi" sheetId="3" r:id="rId6"/>
    <sheet state="visible" name="K01 Khám phá Rio" sheetId="4" r:id="rId7"/>
    <sheet state="visible" name="K02 Thuật toán Rio" sheetId="5" r:id="rId8"/>
    <sheet state="visible" name="K03 Block Coding Rio" sheetId="6" r:id="rId9"/>
    <sheet state="visible" name="K04 Rio thông minh" sheetId="7" r:id="rId10"/>
    <sheet state="visible" name="K05 Xưởng thuật toán" sheetId="8" r:id="rId11"/>
    <sheet state="visible" name="Nguồn tham khảo" sheetId="9" r:id="rId12"/>
  </sheets>
  <definedNames/>
  <calcPr/>
  <extLst>
    <ext uri="GoogleSheetsCustomDataVersion2">
      <go:sheetsCustomData xmlns:go="http://customooxmlschemas.google.com/" r:id="rId13" roundtripDataChecksum="vuEFHWoo5QZz5bBn8dWilA4p6UJIZ6BWJOrhk7vGIbE="/>
    </ext>
  </extLst>
</workbook>
</file>

<file path=xl/sharedStrings.xml><?xml version="1.0" encoding="utf-8"?>
<sst xmlns="http://schemas.openxmlformats.org/spreadsheetml/2006/main" count="1682" uniqueCount="850">
  <si>
    <t>GIÁO TRÌNH STEM ROBOT RIO 5–7 TUỔI | 5 KHÓA – 60 BUỔI</t>
  </si>
  <si>
    <t>DANH SÁCH TOÀN BỘ 60 BUỔI HỌC</t>
  </si>
  <si>
    <t>DANH MỤC HỌC CỤ CỐT LÕI VÀ CÁCH TỔ CHỨC</t>
  </si>
  <si>
    <t>K01 | KHÁM PHÁ THẾ GIỚI CÙNG RIO</t>
  </si>
  <si>
    <t>Dùng sheet này để lọc/tìm nhanh; nội dung đầy đủ từng buổi nằm ở các sheet K01–K05.</t>
  </si>
  <si>
    <t>Lộ trình đề xuất: K1–K2 ưu tiên unplugged/nút nhấn; K3 chuyển sang block coding; K4 robot phản ứng với môi trường; K5 thiết kế &amp; giải quyết vấn đề. Giả định 90 phút/buổi, 2 buổi/tuần; độ tuổi là mốc tham khảo, nên chuyển khóa theo năng lực.</t>
  </si>
  <si>
    <t>Giai đoạn 1 – Làm quen robot không màn hình | Độ tuổi tham khảo: 5–6 tuổi | 12 buổi × 90 phút | Tổng hợp từ tài liệu Khóa 1</t>
  </si>
  <si>
    <t>Mục tiêu khóa</t>
  </si>
  <si>
    <t>Làm quen Robot Rio, hướng di chuyển và chuỗi lệnh cơ bản; kết hợp robot với khoa học đời sống, kỹ năng quan sát, giao tiếp và hoạt động Maker.</t>
  </si>
  <si>
    <t>Khóa</t>
  </si>
  <si>
    <t>Số khóa</t>
  </si>
  <si>
    <t>Tên khóa</t>
  </si>
  <si>
    <t>Mã</t>
  </si>
  <si>
    <t>Tuổi</t>
  </si>
  <si>
    <t>Điều kiện đầu vào</t>
  </si>
  <si>
    <t>Buổi</t>
  </si>
  <si>
    <t>Loại buổi</t>
  </si>
  <si>
    <t>Không yêu cầu kiến thức trước; bé có thể nghe và làm theo hướng dẫn 1–2 bước.</t>
  </si>
  <si>
    <t>Chủ đề</t>
  </si>
  <si>
    <t>Học cụ cốt lõi</t>
  </si>
  <si>
    <t>Mục tiêu</t>
  </si>
  <si>
    <t>Tổ chức lớp/kit</t>
  </si>
  <si>
    <t>Thực hành chính</t>
  </si>
  <si>
    <t>Chuẩn bị trước buổi</t>
  </si>
  <si>
    <t>Thử thách/cải tiến</t>
  </si>
  <si>
    <t>An toàn chung</t>
  </si>
  <si>
    <t>Chuẩn đầu ra</t>
  </si>
  <si>
    <t>Buổi/khóa</t>
  </si>
  <si>
    <t>Đầu ra</t>
  </si>
  <si>
    <t>Tiêu chí</t>
  </si>
  <si>
    <t>An toàn</t>
  </si>
  <si>
    <t>Tổng số buổi</t>
  </si>
  <si>
    <t>Bé dùng nút nhấn để điều khiển Rio tiến/lùi/rẽ; lập được đường đi ngắn; dự đoán kết quả đơn giản; tham gia thí nghiệm, mô hình và trình bày sản phẩm.</t>
  </si>
  <si>
    <t>K01</t>
  </si>
  <si>
    <t>Khám phá thế giới cùng Rio</t>
  </si>
  <si>
    <t>Robot Rio; thẻ lệnh; sa bàn/bản đồ; tranh chủ đề; vật liệu thủ công; vật cản; phụ kiện kéo/đẩy đơn giản.</t>
  </si>
  <si>
    <t>5–6 tuổi</t>
  </si>
  <si>
    <t>Khám phá</t>
  </si>
  <si>
    <t>Chào người bạn mới Rio</t>
  </si>
  <si>
    <t>1 Rio/2–3 bé; 1 khay thẻ lệnh và học cụ/nhóm; ưu tiên thao tác trực tiếp, không cần màn hình cá nhân.</t>
  </si>
  <si>
    <t>Biết bật/tắt, bảo quản Rio; nhận biết tiến/lùi/trái/phải và các chế độ cơ bản.</t>
  </si>
  <si>
    <t>Sạc/test Rio; chuẩn bị sa bàn, thẻ lệnh, vật liệu cắt sẵn; chạy thử đường đi mẫu; phân khu vật liệu theo nhóm.</t>
  </si>
  <si>
    <t>Giáo viên quản lý sạc/nguồn; không để robot rơi; vật liệu cắt sẵn với trẻ nhỏ; hoạt động nếm/ngửi chỉ dùng vật liệu an toàn.</t>
  </si>
  <si>
    <t>Dùng thẻ lệnh và nút nhấn để Rio đi đến đích, tránh vật cản; thử dò đường/né vật cản ở mức giới thiệu.</t>
  </si>
  <si>
    <t>Tìm đường ngắn hơn với số thẻ giới hạn.</t>
  </si>
  <si>
    <t>Chuỗi 4–6 lệnh đưa Rio tới đích.</t>
  </si>
  <si>
    <t>Phân biệt đúng 4 hướng; chạy đúng chuỗi sau tối đa 1 lần sửa.</t>
  </si>
  <si>
    <t>Không nhấc/kéo robot khi motor đang chạy; cất đúng hộp.</t>
  </si>
  <si>
    <t>K02</t>
  </si>
  <si>
    <t>Màu sắc</t>
  </si>
  <si>
    <t>Khám phá mở rộng &amp; tư duy thuật toán</t>
  </si>
  <si>
    <t>Nhận biết màu cơ bản, pha màu và lập trình Rio thu thập màu theo yêu cầu.</t>
  </si>
  <si>
    <t>Robot Rio; thẻ lệnh; sa bàn trắng; thẻ hình/chữ/số; kẹp bút; phụ kiện đẩy/gắp; vật liệu mô hình.</t>
  </si>
  <si>
    <t>Đặt thẻ/vật màu trên sa bàn; lập trình Rio đến đúng màu; pha màu và hoàn thiện tranh nhóm.</t>
  </si>
  <si>
    <t>Tìm đường thu đủ màu với ít lệnh hơn.</t>
  </si>
  <si>
    <t>Tranh/vườn hoa lớp + hành trình Rio thu màu.</t>
  </si>
  <si>
    <t>Gọi đúng ≥4 màu; phối hợp nhóm và lập đường đúng.</t>
  </si>
  <si>
    <t>Số tuần @2 buổi</t>
  </si>
  <si>
    <t>Dùng màu an toàn, có áo/khăn bảo vệ bàn.</t>
  </si>
  <si>
    <t>Giáo viên lắp phụ kiện kẹp bút/gắp; giới hạn vật nhỏ; dọn sa bàn trước khi chạy; không để tay trước bánh khi robot đang chạy.</t>
  </si>
  <si>
    <t>Mục tiêu học tập</t>
  </si>
  <si>
    <t>Kiến thức trọng tâm</t>
  </si>
  <si>
    <t>Các giác quan</t>
  </si>
  <si>
    <t>Khởi động / trải nghiệm (10–15')</t>
  </si>
  <si>
    <t>Nhận biết 5 giác quan, chức năng và cách bảo vệ; dùng Rio ghép giác quan với nhiệm vụ.</t>
  </si>
  <si>
    <t>K03</t>
  </si>
  <si>
    <t>Thực hành / chế tạo (45–50')</t>
  </si>
  <si>
    <t>Đặt thẻ giác quan và chức năng lên sa bàn; lập trình Rio nối đúng cặp.</t>
  </si>
  <si>
    <t>Lập trình kéo thả cùng Rio</t>
  </si>
  <si>
    <t>Thử thách / cải tiến (10–15')</t>
  </si>
  <si>
    <t>Ghép hình 'nên/không nên' để bảo vệ giác quan.</t>
  </si>
  <si>
    <t>Học cụ chính</t>
  </si>
  <si>
    <t>Mô hình 'Bộ mặt cảm giác' + bản ghép đúng.</t>
  </si>
  <si>
    <t>Máy tính/tablet theo cặp; OhStem App chế độ Rio/virtual; Robot Rio; sa bàn ô vuông; loa mức vừa; phiếu thuật toán.</t>
  </si>
  <si>
    <t>Đầu ra buổi học</t>
  </si>
  <si>
    <t>Tiêu chí quan sát</t>
  </si>
  <si>
    <t>Ghép đúng phần lớn chức năng; giải thích được ít nhất 2 cách bảo vệ.</t>
  </si>
  <si>
    <t>1 thiết bị/2 bé để pair programming; 1 Rio/2–3 bé; luân phiên người điều khiển – người quan sát – người ghi kết quả.</t>
  </si>
  <si>
    <t>Minh chứng gửi phụ huynh</t>
  </si>
  <si>
    <t>Phút/buổi</t>
  </si>
  <si>
    <t>Không dùng vật gây dị ứng/cay/nóng; nếm chỉ khi có quy trình vệ sinh.</t>
  </si>
  <si>
    <t>Lưu ý an toàn / hỗ trợ</t>
  </si>
  <si>
    <t>Mở sẵn OhStem App/Rio virtual; test Run/Stop; test sa bàn/line; in phiếu dự đoán, checklist debug, storyboard.</t>
  </si>
  <si>
    <t>Tổng giờ học</t>
  </si>
  <si>
    <t>Pair programming; mỗi lượt màn hình ngắn, xen kẽ vận động/robot thật; dùng nút Stop khi robot chạy sai; không chạy robot sát mép bàn.</t>
  </si>
  <si>
    <t>Rau củ tốt cho sức khỏe</t>
  </si>
  <si>
    <t>Nhận biết một số rau củ, ích lợi và quy trình trồng; điều khiển Rio tìm đúng vật.</t>
  </si>
  <si>
    <t>Nghe chuyện 'Khu vườn nhỏ của Rio'; lập trình robot đi đến đáp án đúng; làm mô hình khu vườn.</t>
  </si>
  <si>
    <t>Thiết kế khu vườn có ít nhất 3 loại cây và giải thích lựa chọn.</t>
  </si>
  <si>
    <t>K04</t>
  </si>
  <si>
    <t>Khu vườn mini hoặc 'Quả trong vườn em'.</t>
  </si>
  <si>
    <t>Rio thông minh – Dò line &amp; né vật cản</t>
  </si>
  <si>
    <t>Nhận biết ≥3 loại rau củ và hoàn thành nhiệm vụ Rio chính xác.</t>
  </si>
  <si>
    <t>Robot Rio; OhStem App; đường line đen/nền sáng; sa bàn thành phố; vật cản mềm; biển báo; thẻ checklist; loa của Rio.</t>
  </si>
  <si>
    <t>Không dùng dao; nguyên liệu sạch; không bắt buộc trẻ nếm.</t>
  </si>
  <si>
    <t>Robot là thiết bị nhận lệnh; một chuỗi lệnh tạo thành đường đi.</t>
  </si>
  <si>
    <t>Tháng học xấp xỉ</t>
  </si>
  <si>
    <t>Quan sát Rio, tìm nút, bánh xe, đèn và chơi 'Em là robot'.</t>
  </si>
  <si>
    <t>Căn chỉnh và test sa bàn trước giờ; vật cản mềm; không cho robot chạy ở mép bàn/cầu thang; âm lượng vừa; giáo viên dừng khẩn cấp khi cần.</t>
  </si>
  <si>
    <t>Kỹ năng sống</t>
  </si>
  <si>
    <t>Việc tốt, việc xấu</t>
  </si>
  <si>
    <t>Rio, sa bàn ô vuông, thẻ lệnh, vật cản mềm.</t>
  </si>
  <si>
    <t>Phân biệt hành vi nên/không nên; kể chuyện theo chuỗi và xử lý tình huống.</t>
  </si>
  <si>
    <t>Lập trình Rio đi theo mạch truyện Tít–Mít; đóng vai giải quyết tình huống.</t>
  </si>
  <si>
    <t>Sắp xếp đồ vật về đúng khu vực bằng Rio.</t>
  </si>
  <si>
    <t>Ảnh bé lập thẻ lệnh + video Rio hoàn thành đường đi.</t>
  </si>
  <si>
    <t>Phiếu bé ngoan + câu chuyện robot.</t>
  </si>
  <si>
    <t>K05</t>
  </si>
  <si>
    <t>Nêu được lý do cho lựa chọn; kể đúng thứ tự 3–4 sự kiện.</t>
  </si>
  <si>
    <t>Xưởng sáng tạo thuật toán Rio</t>
  </si>
  <si>
    <t>Tránh gắn nhãn 'bé xấu'; tập trung vào hành vi và cách sửa.</t>
  </si>
  <si>
    <t>Nhịp học</t>
  </si>
  <si>
    <t>OhStem App; Robot Rio; sa bàn trắng + line; bộ thẻ nhiệm vụ; vật liệu Maker; phiếu thiết kế V1/V2; rubric trình bày.</t>
  </si>
  <si>
    <t>2 buổi/tuần</t>
  </si>
  <si>
    <t>Giáo viên duyệt sa bàn và phụ kiện trước chạy; giới hạn thời gian màn hình theo chặng; không dùng phụ kiện sắc/nặng; luôn có vùng chạy robot riêng.</t>
  </si>
  <si>
    <t>Tham quan sở thú</t>
  </si>
  <si>
    <t>Màu cơ bản; pha màu; đếm số màu; đường đi theo mục tiêu.</t>
  </si>
  <si>
    <t>Nhận biết động vật, môi trường sống và cách bảo vệ; lập trình Rio khám phá sở thú.</t>
  </si>
  <si>
    <t>Trò chơi tìm màu trong lớp, hát về màu sắc.</t>
  </si>
  <si>
    <t>Robot đi đến con vật theo mô tả; ghép con vật với môi trường; làm mô hình sở thú.</t>
  </si>
  <si>
    <t>Thiết kế một khu sống phù hợp và giải thích.</t>
  </si>
  <si>
    <t>Mô hình sở thú hoặc 'Lá thành con'.</t>
  </si>
  <si>
    <t>Rio, thẻ lệnh, màu vẽ, bảng màu, tranh tô.</t>
  </si>
  <si>
    <t>Ghép đúng ≥4 loài với môi trường; đường đi Rio đúng.</t>
  </si>
  <si>
    <t>Không dùng chi tiết nhỏ rời với nhóm 5 tuổi; kéo an toàn.</t>
  </si>
  <si>
    <t>Giai đoạn</t>
  </si>
  <si>
    <t>Ảnh tranh + ảnh chuỗi lệnh.</t>
  </si>
  <si>
    <t>Độ tuổi</t>
  </si>
  <si>
    <t>Trọng tâm</t>
  </si>
  <si>
    <t>Thí nghiệm</t>
  </si>
  <si>
    <t>Sản phẩm cuối khóa</t>
  </si>
  <si>
    <t>Em là dũng sĩ</t>
  </si>
  <si>
    <t>Hiểu thói quen khỏe mạnh; làm quen quy trình dự đoán–thử–quan sát–kết luận.</t>
  </si>
  <si>
    <t>Tạo xe kéo Rio và tăng dần tải; quan sát robot nhanh/chậm, xa/ngắn.</t>
  </si>
  <si>
    <t>So sánh kết quả các nhóm và nêu nguyên nhân có thể.</t>
  </si>
  <si>
    <t>Mắt–mũi–tai–lưỡi–da; quan sát và phân loại.</t>
  </si>
  <si>
    <t>Bảng kết quả thí nghiệm + poster thực phẩm khỏe.</t>
  </si>
  <si>
    <t>Trò chơi 'Mắt–mũi–tai'; trải nghiệm nhìn/nghe/ngửi/chạm an toàn.</t>
  </si>
  <si>
    <t>Thực hiện đúng thứ tự; mô tả được thay đổi khi tăng tải.</t>
  </si>
  <si>
    <t>Không dùng vật nặng/cạnh sắc; không kéo robot bằng tay khi đang chạy.</t>
  </si>
  <si>
    <t>Giai đoạn 1 – Làm quen robot không màn hình</t>
  </si>
  <si>
    <t>Rio, thẻ giác quan, vật mẫu an toàn, sa bàn.</t>
  </si>
  <si>
    <t>Ảnh mô hình + câu bé tự nói.</t>
  </si>
  <si>
    <t>Cuộc phiêu lưu Rio cuối khóa + bộ sản phẩm/phiếu hoạt động tiêu biểu.</t>
  </si>
  <si>
    <t>Phương tiện di chuyển</t>
  </si>
  <si>
    <t>Nhận biết phương tiện và quy tắc giao thông; giải quyết tình huống bằng vai chơi.</t>
  </si>
  <si>
    <t>Rio phân loại hành vi giao thông; trẻ đóng vai cảnh sát ở ngã tư mô phỏng.</t>
  </si>
  <si>
    <t>Thiết kế bản đồ giao thông có đèn/vạch và cho Rio đi đúng luật.</t>
  </si>
  <si>
    <t>Bản đồ giao thông nhóm.</t>
  </si>
  <si>
    <t>Nhận biết ≥3 quy tắc và đưa Rio đi đúng tuyến.</t>
  </si>
  <si>
    <t>Không chạy nhảy va chạm; dùng còi âm lượng vừa.</t>
  </si>
  <si>
    <t>Phân loại rau củ; cây cần chăm sóc; lựa chọn thực phẩm lành mạnh.</t>
  </si>
  <si>
    <t>Quan sát, sờ và mô tả rau củ thật/hình ảnh.</t>
  </si>
  <si>
    <t>Maker</t>
  </si>
  <si>
    <t>Thành phố của em</t>
  </si>
  <si>
    <t>Mở rộng kiến thức tự nhiên, xã hội, toán và ngôn ngữ; chuyển từ chỉ 'ra lệnh' sang nhận biết vòng lặp, đọc chương trình, dự đoán và sửa lỗi.</t>
  </si>
  <si>
    <t>Nhận biết chức năng địa điểm; sáng tạo thành phố và giới thiệu hành trình Rio.</t>
  </si>
  <si>
    <t>Rio, rau củ/hình, vật liệu mô hình, sa bàn.</t>
  </si>
  <si>
    <t>Bộ nhiệm vụ tổng hợp: vòng lặp + dự đoán + sửa lỗi + kể chuyện bằng Rio.</t>
  </si>
  <si>
    <t>Xây mô hình thành phố; lập trình Rio đi đến địa điểm do bé tạo.</t>
  </si>
  <si>
    <t>Hoàn thành K01 hoặc điều khiển được Rio bằng nút nhấn và hiểu tiến/lùi/trái/phải.</t>
  </si>
  <si>
    <t>Giới thiệu tuyến đường bằng từ tiến/rẽ/trái/phải.</t>
  </si>
  <si>
    <t>Thành phố mơ ước của nhóm.</t>
  </si>
  <si>
    <t>Bé dùng vòng lặp trên Rio, phát hiện một số lỗi đường đi, dự đoán điểm đến từ chuỗi lệnh và giải quyết nhiệm vụ có nhiều bước.</t>
  </si>
  <si>
    <t>Ghép đúng chức năng; trình bày được hành trình 3–5 bước.</t>
  </si>
  <si>
    <t>Ảnh sản phẩm + video giới thiệu 30 giây.</t>
  </si>
  <si>
    <t>Giáo viên xử lý cắt bìa cứng/keo nóng nếu có.</t>
  </si>
  <si>
    <t>Giai đoạn 2 – Lập trình trực quan</t>
  </si>
  <si>
    <t>6 tuổi+</t>
  </si>
  <si>
    <t>Nơi nào thích hợp để di chuyển</t>
  </si>
  <si>
    <t>So sánh robot chạy trên các bề mặt và làm quen đo/ghi kết quả.</t>
  </si>
  <si>
    <t>Cho Rio đi cùng 5 lệnh trên từng bề mặt; dùng dây/đếm lệnh để so sánh.</t>
  </si>
  <si>
    <t>Trình tự câu chuyện; quy tắc lớp học; lựa chọn hành vi.</t>
  </si>
  <si>
    <t>Chuyển từ thẻ/nút nhấn sang khối lệnh kéo thả; hiểu chuỗi lệnh, thời gian chờ, âm thanh, vòng lặp và quy trình chạy–quan sát–sửa.</t>
  </si>
  <si>
    <t>Lặp lại bằng phương pháp thứ hai để kiểm chứng kết quả.</t>
  </si>
  <si>
    <t>Bảng mặt cười/mặt buồn với tình huống gần gũi.</t>
  </si>
  <si>
    <t>Bảng so sánh nhanh/chậm và kết luận nhóm.</t>
  </si>
  <si>
    <t>Câu chuyện tương tác Rio: di chuyển + nhạc/âm thanh + vòng lặp.</t>
  </si>
  <si>
    <t>Biết giữ một yếu tố giống nhau; nêu được bề mặt robot đi tốt hơn.</t>
  </si>
  <si>
    <t>Hoàn thành K02 hoặc có thể đọc chuỗi 5–8 thẻ lệnh và sử dụng vòng lặp đơn giản.</t>
  </si>
  <si>
    <t>Bề mặt cố định không trượt; đường chạy không có mép rơi.</t>
  </si>
  <si>
    <t>Rio, thẻ hành vi, bảng cảm xúc, thẻ vật dụng.</t>
  </si>
  <si>
    <t>Bé tạo được chương trình kéo thả có di chuyển, chờ, âm thanh và vòng lặp; biết dự đoán, chạy thử và sửa lỗi trên môi trường ảo trước khi thử robot thật.</t>
  </si>
  <si>
    <t>Ảnh đóng vai + ảnh đường đi.</t>
  </si>
  <si>
    <t>Giai đoạn 2 – Robot phản ứng với môi trường</t>
  </si>
  <si>
    <t>Ngôi nhà của em</t>
  </si>
  <si>
    <t>6–7 tuổi</t>
  </si>
  <si>
    <t>Nhận biết vật liệu/cấu trúc; thu thập vật liệu bằng Rio và xây nhà vững hơn.</t>
  </si>
  <si>
    <t>Rio thu vật liệu với số lệnh giới hạn; nhóm xây nhà và thử bằng luồng gió nhẹ.</t>
  </si>
  <si>
    <t>Khám phá robot tự hành ở mức trực quan: né vật cản, dò đường line, dò line đến vật cản, dừng/cảnh báo và phối hợp các khối lệnh.</t>
  </si>
  <si>
    <t>Cải tiến nhà sau lần thử V1.</t>
  </si>
  <si>
    <t>Tuyến giao hàng tự động: bám line → dừng ở vật cản/trạm → phát cảnh báo/nhạc.</t>
  </si>
  <si>
    <t>Ngôi nhà V2 + câu chuyện thu thập vật liệu.</t>
  </si>
  <si>
    <t>Đặc điểm động vật; môi trường sống; phân loại.</t>
  </si>
  <si>
    <t>Hoàn thành K03; biết kéo thả chuỗi lệnh, dùng vòng lặp và nút Run/Stop.</t>
  </si>
  <si>
    <t>Có kế hoạch, dùng vật liệu hợp lý và nêu được một cải tiến.</t>
  </si>
  <si>
    <t>Kể chuyện 'Tham quan sở thú cùng Rio'.</t>
  </si>
  <si>
    <t>Vật liệu nhẹ, không cạnh sắc; giáo viên kiểm soát quạt/thổi thử.</t>
  </si>
  <si>
    <t>Bé thiết kế được nhiệm vụ tự hành ngắn, chọn đúng chế độ/khối dò line, giải thích Input–hành động ở mức đơn giản và debug theo checklist.</t>
  </si>
  <si>
    <t>Rio, bản đồ động vật, thẻ môi trường, giấy/lá cây.</t>
  </si>
  <si>
    <t>Capstone</t>
  </si>
  <si>
    <t>Giai đoạn 3 – Thiết kế &amp; giải quyết vấn đề</t>
  </si>
  <si>
    <t>Thử thách cuối khóa – Cuộc phiêu lưu Rio</t>
  </si>
  <si>
    <t>7 tuổi</t>
  </si>
  <si>
    <t>Ôn tập chủ đề và kỹ năng điều khiển robot qua các trạm.</t>
  </si>
  <si>
    <t>Đi qua các trạm câu hỏi/vận động/robot; thu 'đá quý'; hoàn thành đường đi giới hạn thẻ.</t>
  </si>
  <si>
    <t>Ảnh mô hình + lời giới thiệu.</t>
  </si>
  <si>
    <t>Nâng cao tư duy thuật toán qua phân rã nhiệm vụ, tối ưu số khối lệnh, thử nghiệm người dùng, debug có hệ thống và dự án mở.</t>
  </si>
  <si>
    <t>Thiết kế một trạm nhỏ cho nhóm khác.</t>
  </si>
  <si>
    <t>Maker Day – Dự án Rio do nhóm tự thiết kế, có thuật toán, prototype V2 và phần trình bày.</t>
  </si>
  <si>
    <t>Hộ chiếu thử thách + dây ảnh kỷ niệm.</t>
  </si>
  <si>
    <t>Hoàn thành K04; tự tạo được chương trình có di chuyển, vòng lặp, âm thanh và khối dò line cơ bản.</t>
  </si>
  <si>
    <t>Hoàn thành phần lớn trạm; hợp tác; tự giải thích ít nhất 1 chiến lược.</t>
  </si>
  <si>
    <t>Bố trí khoảng trống vận động; vật cản mềm, không tạo điểm trượt.</t>
  </si>
  <si>
    <t>Bé lập kế hoạch trước khi code, tạo V1–V2, giải thích lỗi và cải tiến; hoàn thành dự án Rio có câu chuyện, quy tắc chơi hoặc nhiệm vụ tự hành.</t>
  </si>
  <si>
    <t>Sức khỏe; tải trọng; thử nghiệm công bằng ở mức trực quan.</t>
  </si>
  <si>
    <t>Vận động theo nhạc; dự đoán số sách/vật có thể mang.</t>
  </si>
  <si>
    <t>Bạn sống ở đâu?</t>
  </si>
  <si>
    <t>Nhận biết môi trường sống của cây/con vật và dùng Rio ghép đúng nơi ở.</t>
  </si>
  <si>
    <t>Đặt hình lên sa bàn, lập trình Rio nối từng sinh vật tới môi trường phù hợp.</t>
  </si>
  <si>
    <t>NHẬN XÉT &amp; NGUYÊN TẮC THIẾT KẾ LỘ TRÌNH</t>
  </si>
  <si>
    <t>Thêm vật cản và tìm đường không chạm vật cản.</t>
  </si>
  <si>
    <t>Bản đồ môi trường sống + con vật bé sáng tạo.</t>
  </si>
  <si>
    <t>Rio, vật tải đồng đều, dây/kéo mềm, bảng ghi biểu tượng.</t>
  </si>
  <si>
    <t>Ghép đúng phần lớn cặp và giải thích được 1 đặc điểm thích nghi.</t>
  </si>
  <si>
    <t>Dùng vật liệu thủ công lớn, dễ cầm; đường chạy rộng.</t>
  </si>
  <si>
    <t>Ảnh thí nghiệm + bảng kết quả.</t>
  </si>
  <si>
    <t>Trái Đất và các châu lục</t>
  </si>
  <si>
    <t>1) K1 hiện tại dùng Rio như công cụ trải nghiệm STEM/kỹ năng sống: di chuyển, tránh vật cản, màu sắc, giác quan, động vật, giao thông, vật liệu và cấu trúc.
2) K2 đã có tiến bộ thuật toán rõ hơn: vòng lặp, đọc chương trình, dự đoán điểm đến, tìm và sửa lỗi; tuy nhiên vẫn chủ yếu dùng nút nhấn/thẻ lệnh.
3) K3–K5 vì vậy không chỉ đổi chủ đề: trọng tâm mới là block coding trên OhStem App, âm thanh/thời gian/vòng lặp, dò line–vật cản, debug và quy trình thiết kế.
4) Với trẻ 5–7 tuổi, App nên dùng theo cặp và theo chặng ngắn: dự đoán trên giấy → virtual → robot thật → chia sẻ/cải tiến.
5) 5 khóa × 12 buổi = 60 buổi ≈ 30 tuần ở nhịp 2 buổi/tuần (~7–8 tháng). Đây nên được xem là Rio Foundation Track; sau K5 nên chuyển sang nền tảng có trần kỹ năng cao hơn nếu muốn học liên tục tới 7 tuổi.</t>
  </si>
  <si>
    <t>Nhận biết một số châu lục, đặc điểm/địa danh và dùng Rio truy tìm thông tin.</t>
  </si>
  <si>
    <t>Rio nối châu lục với thẻ đặc điểm; tìm địa điểm theo mô tả; thu chữ cái tạo tên.</t>
  </si>
  <si>
    <t>Chọn nơi bé muốn đến và giải thích lý do.</t>
  </si>
  <si>
    <t>Hành trình 'Vòng quanh thế giới cùng Rio'.</t>
  </si>
  <si>
    <t>Nhận biết được một số châu lục và tìm đúng thẻ theo mô tả.</t>
  </si>
  <si>
    <t>Phương tiện; đèn tín hiệu; ưu tiên; an toàn.</t>
  </si>
  <si>
    <t>Tránh dạy định kiến văn hóa; dùng hình ảnh đa dạng, tôn trọng.</t>
  </si>
  <si>
    <t>Trò chuyện 'Hôm nay con đến lớp bằng gì?'.</t>
  </si>
  <si>
    <t>Rio, mô hình xe, biển báo, đồ hóa trang, giấy màu.</t>
  </si>
  <si>
    <t>Lập trình</t>
  </si>
  <si>
    <t>Vòng đời của ếch – Làm quen vòng lặp</t>
  </si>
  <si>
    <t>Ghi nhớ 5 giai đoạn của ếch và nhận ra chuỗi lệnh lặp lại.</t>
  </si>
  <si>
    <t>Ảnh bản đồ + video vai chơi.</t>
  </si>
  <si>
    <t>Tạo đường đi có đoạn lặp; chạy bằng nút thường rồi thử dùng nút/lệnh lặp.</t>
  </si>
  <si>
    <t>So sánh số lần nhấn trước và sau khi dùng lặp.</t>
  </si>
  <si>
    <t>Phiếu 'trước/sau vòng lặp' + mặt nạ Rio.</t>
  </si>
  <si>
    <t>Chỉ ra được đoạn lặp và dùng lặp đúng ít nhất 1 lần.</t>
  </si>
  <si>
    <t>Kiểm tra số lần lặp trước khi chạy để tránh robot đi quá xa.</t>
  </si>
  <si>
    <t>Mốc năng lực</t>
  </si>
  <si>
    <t>An toàn giao thông – Tìm và sửa lỗi</t>
  </si>
  <si>
    <t>Nhận biết biển báo cơ bản và phát hiện đường đi/chuỗi lệnh sai.</t>
  </si>
  <si>
    <t>Giáo viên cho Rio chạy sai; trẻ xác định lỗi, sửa thẻ lệnh và kiểm chứng.</t>
  </si>
  <si>
    <t>Bệnh viện, trường, công viên, bưu điện...; bản đồ và tuyến đường.</t>
  </si>
  <si>
    <t>Sửa tuyến đường sai thành tuyến hợp lệ với ít thay đổi nhất.</t>
  </si>
  <si>
    <t>Ghép thẻ địa điểm với chức năng.</t>
  </si>
  <si>
    <t>Phiếu debug 3 bước: thấy lỗi–sửa–thử lại.</t>
  </si>
  <si>
    <t>Chỉ đúng lỗi và sửa được ít nhất 2 tình huống.</t>
  </si>
  <si>
    <t>Mô phỏng an toàn, không diễn va chạm mạnh.</t>
  </si>
  <si>
    <t>Rio, mô hình/thẻ địa điểm, bìa giấy, sa bàn.</t>
  </si>
  <si>
    <t>Vai trò giáo viên</t>
  </si>
  <si>
    <t>Vai trò trẻ</t>
  </si>
  <si>
    <t>Ảnh thành phố + video giới thiệu.</t>
  </si>
  <si>
    <t>Bé thích nghề gì?</t>
  </si>
  <si>
    <t>Hiểu một số nghề/nơi làm việc; đọc chương trình và sửa lỗi nhiệm vụ nghề nghiệp.</t>
  </si>
  <si>
    <t>Rio nối nhân vật tới nơi làm việc; sửa chương trình cho cứu hỏa/bác sĩ; mô phỏng thu gom rác.</t>
  </si>
  <si>
    <t>Tìm đường ít lệnh nhất cho một nhiệm vụ.</t>
  </si>
  <si>
    <t>Bản đồ nghề nghiệp + nhiệm vụ lao công.</t>
  </si>
  <si>
    <t>Bề mặt nhẵn/nhám ảnh hưởng chuyển động; cùng số lệnh có thể cho quãng đường khác.</t>
  </si>
  <si>
    <t>Ghép đúng nghề/nơi làm việc; giải thích 1 lỗi và 1 cách tối ưu.</t>
  </si>
  <si>
    <t>Sờ, mô tả vải, bìa, giấy, thảm.</t>
  </si>
  <si>
    <t>Rác mô phỏng sạch, không chi tiết sắc/nhọn.</t>
  </si>
  <si>
    <t>Cách lập trình</t>
  </si>
  <si>
    <t>Rio, 3–4 bề mặt, dây đo, sticker.</t>
  </si>
  <si>
    <t>Nút nhấn</t>
  </si>
  <si>
    <t>Danh lam thắng cảnh – Dự đoán chương trình</t>
  </si>
  <si>
    <t>Nút + vòng lặp</t>
  </si>
  <si>
    <t>Ảnh 2 lần thử + bảng kết quả.</t>
  </si>
  <si>
    <t>Nhận biết một số địa danh Việt Nam và dự đoán điểm đến từ chuỗi lệnh cho trước.</t>
  </si>
  <si>
    <t>Block kéo thả</t>
  </si>
  <si>
    <t>Block + line/vật cản</t>
  </si>
  <si>
    <t>Giáo viên đưa chuỗi lệnh; trẻ dùng ngón tay/robot giấy để dự đoán điểm đến rồi chạy Rio kiểm chứng.</t>
  </si>
  <si>
    <t>Tự tạo một chuỗi để nhóm khác dự đoán.</t>
  </si>
  <si>
    <t>Thiết kế thuật toán</t>
  </si>
  <si>
    <t>Bộ câu đố 'Rio sẽ đi đâu?'.</t>
  </si>
  <si>
    <t>Làm mẫu → gợi ý</t>
  </si>
  <si>
    <t>Dự đoán đúng phần lớn chuỗi 4–6 lệnh và nêu cách suy luận.</t>
  </si>
  <si>
    <t>Tự chọn chiến lược dần</t>
  </si>
  <si>
    <t>Không gắn phụ kiện gắp nặng; giữ sa bàn bằng phẳng.</t>
  </si>
  <si>
    <t>Vật liệu nhẹ/nặng; nền móng; thử độ vững; cải tiến.</t>
  </si>
  <si>
    <t>Kể chuyện Ba chú heo con; quan sát mẫu nhà.</t>
  </si>
  <si>
    <t>Độ dài nhiệm vụ</t>
  </si>
  <si>
    <t>3–6 bước</t>
  </si>
  <si>
    <t>Bạn có hình dạng nào?</t>
  </si>
  <si>
    <t>5–10 bước</t>
  </si>
  <si>
    <t>Nhận biết hình cơ bản; đọc, sửa và dùng vòng lặp để Rio đi/vẽ hình.</t>
  </si>
  <si>
    <t>Rio, khối xốp/gỗ/bìa, hộp carton, đất sét.</t>
  </si>
  <si>
    <t>Chuỗi + repeat</t>
  </si>
  <si>
    <t>Chọn chương trình đúng; gắn bút để Rio vẽ đường vuông/chữ nhật; dùng lặp cho mẫu cạnh–rẽ.</t>
  </si>
  <si>
    <t>Tuyến tự hành</t>
  </si>
  <si>
    <t>Sửa chương trình sai một góc hoặc thiếu cạnh.</t>
  </si>
  <si>
    <t>Bức vẽ hình học bằng Rio.</t>
  </si>
  <si>
    <t>Nhiều chặng V1/V2</t>
  </si>
  <si>
    <t>Ảnh V1/V2 + video trình bày.</t>
  </si>
  <si>
    <t>Tạo được ít nhất 1 hình khép kín và giải thích đoạn lặp.</t>
  </si>
  <si>
    <t>Chia nhỏ nhiệm vụ</t>
  </si>
  <si>
    <t>Bút sáp đầu tù; giáo viên gắn kẹp bút chắc chắn.</t>
  </si>
  <si>
    <t>Lập kế hoạch trước code</t>
  </si>
  <si>
    <t>Debug</t>
  </si>
  <si>
    <t>Toán &amp; code</t>
  </si>
  <si>
    <t>Nhìn sai đường</t>
  </si>
  <si>
    <t>Số đếm</t>
  </si>
  <si>
    <t>Sửa thẻ lệnh</t>
  </si>
  <si>
    <t>Nhận biết số 1–9, so sánh lớn/bé và dùng vòng lặp để đi nhiều bước.</t>
  </si>
  <si>
    <t>Checklist code</t>
  </si>
  <si>
    <t>Rio ghép số với số lượng; đi N bước bằng lặp; so sánh số lệnh cần dùng.</t>
  </si>
  <si>
    <t>Code + sa bàn</t>
  </si>
  <si>
    <t>Tìm số lớn/nhỏ qua số bước và vẽ số đơn giản bằng Rio.</t>
  </si>
  <si>
    <t>Giả thuyết–test–sửa</t>
  </si>
  <si>
    <t>Bảng 'số–số bước–số lần lặp'.</t>
  </si>
  <si>
    <t>Đếm đúng và đặt số lần lặp phù hợp 1–9.</t>
  </si>
  <si>
    <t>Không sửa hộ ngay</t>
  </si>
  <si>
    <t>Giới hạn đường thẳng đủ dài trước khi lặp.</t>
  </si>
  <si>
    <t>Giải thích lỗi</t>
  </si>
  <si>
    <t>Tổng hợp: màu, động vật, giao thông, vận động, đường đi.</t>
  </si>
  <si>
    <t>Giới thiệu 5 trạm và luật chơi theo nhóm.</t>
  </si>
  <si>
    <t>Mô hình + đường đi</t>
  </si>
  <si>
    <t>Phép tính</t>
  </si>
  <si>
    <t>Rio, sa bàn, thẻ chủ đề, vật cản mềm, huy hiệu.</t>
  </si>
  <si>
    <t>Bài toán tích hợp</t>
  </si>
  <si>
    <t>Thực hiện cộng/trừ nhỏ bằng chuyển động tới/lui trên thang số.</t>
  </si>
  <si>
    <t>Câu chuyện bằng code</t>
  </si>
  <si>
    <t>Đặt Rio ở số bắt đầu; nhập tiến/lùi theo phép tính; thi 'ai tính nhanh hơn'.</t>
  </si>
  <si>
    <t>Kết hợp 2 phép tính liên tiếp và dự đoán kết quả trước khi chạy.</t>
  </si>
  <si>
    <t>Video cuối khóa + ảnh sản phẩm/nhóm.</t>
  </si>
  <si>
    <t>Dự án Maker</t>
  </si>
  <si>
    <t>Phiếu phép tính bằng chuyển động.</t>
  </si>
  <si>
    <t>Rubric quan sát</t>
  </si>
  <si>
    <t>Thực hiện đúng phép cộng/trừ trong phạm vi phù hợp nhóm.</t>
  </si>
  <si>
    <t>Thuyết trình sản phẩm</t>
  </si>
  <si>
    <t>Sa bàn cố định, khoảng cách số phù hợp 1 bước Rio.</t>
  </si>
  <si>
    <t>Ngôn ngữ &amp; code</t>
  </si>
  <si>
    <t>ABC</t>
  </si>
  <si>
    <t>Nhận biết chữ cái, ghép từ đơn và điều khiển Rio truy tìm chữ.</t>
  </si>
  <si>
    <t>Giấu chữ trên sa bàn; Rio thu chữ theo yêu cầu; ghép tên/vật đơn giản; thử vẽ nét chữ lớn.</t>
  </si>
  <si>
    <t>Ghép tên của bé hoặc từ 2–4 chữ cái.</t>
  </si>
  <si>
    <t>Bảng từ đơn + tên bé được ghép bằng robot.</t>
  </si>
  <si>
    <t>Nhận đúng chữ mục tiêu và sắp xếp đúng thứ tự.</t>
  </si>
  <si>
    <t>Không bắt trẻ viết chính xác như tiểu học; ưu tiên nhận diện và âm.</t>
  </si>
  <si>
    <t>Cầu nối App</t>
  </si>
  <si>
    <t>[Đề xuất bổ sung] Nhịp điệu cùng Rio</t>
  </si>
  <si>
    <t>Hoàn thiện khoảng trống Bài 11 trong folder nguồn; dùng nhạc/nhịp để chuẩn bị chuyển sang block coding.</t>
  </si>
  <si>
    <t>Tạo chuỗi đi–dừng–nhạc; dùng lặp cho mẫu nhịp; giáo viên demo cùng chương trình trên OhStem App.</t>
  </si>
  <si>
    <t>Nhóm khác đoán quy luật lặp và sửa một nhịp sai.</t>
  </si>
  <si>
    <t>Bản nhạc/chuyển động 20–30 giây.</t>
  </si>
  <si>
    <t>Nhận ra mẫu lặp; thực hiện đúng thứ tự âm thanh–chuyển động.</t>
  </si>
  <si>
    <t>Âm lượng vừa; phần App chỉ demo ngắn, không bắt trẻ dùng chuột lâu.</t>
  </si>
  <si>
    <t>Kể chuyện</t>
  </si>
  <si>
    <t>Ngày nghỉ của bé</t>
  </si>
  <si>
    <t>Miêu tả ngày nghỉ, chọn hoạt động cân bằng và kể chuyện bằng hành trình Rio.</t>
  </si>
  <si>
    <t>Rio thu thẻ hoạt động theo thứ tự; bé kể lại ngày nghỉ; vẽ 'ngày nghỉ mơ ước'.</t>
  </si>
  <si>
    <t>Thêm một 'sự kiện bất ngờ' và sửa đường đi/câu chuyện.</t>
  </si>
  <si>
    <t>Tranh ngày nghỉ + câu chuyện hành trình.</t>
  </si>
  <si>
    <t>Kể được 3–5 hoạt động theo thứ tự và chạy Rio khớp câu chuyện.</t>
  </si>
  <si>
    <t>Không phán xét lịch gia đình; tập trung vào cân bằng vận động–nghỉ ngơi.</t>
  </si>
  <si>
    <t>Khám phá App</t>
  </si>
  <si>
    <t>Từ thẻ lệnh đến khối lệnh</t>
  </si>
  <si>
    <t>Làm quen giao diện Rio/virtual, kéo–thả, ghép khối và Run/Stop.</t>
  </si>
  <si>
    <t>Theo cặp, kéo 3–4 khối di chuyển; chạy mô phỏng; sau đó thử robot thật.</t>
  </si>
  <si>
    <t>Giáo viên đổi 1 khối; bé dự đoán khác biệt trước khi chạy.</t>
  </si>
  <si>
    <t>Chương trình 4 khối đầu tiên.</t>
  </si>
  <si>
    <t>Tự Run/Stop và ghép đúng thứ tự với tối đa 1 trợ giúp.</t>
  </si>
  <si>
    <t>Pair programming; khu chạy robot riêng; biết dùng Stop.</t>
  </si>
  <si>
    <t>Tiến – lùi – quay 90°</t>
  </si>
  <si>
    <t>Củng cố các khối di chuyển 1s/90° và tạo tuyến đường nhiều bước.</t>
  </si>
  <si>
    <t>Code 5–7 khối để đi từ A đến B trong virtual và robot thật.</t>
  </si>
  <si>
    <t>Cùng đích nhưng xuất phát khác nhau; phải chỉnh chương trình.</t>
  </si>
  <si>
    <t>Hai chương trình cho hai vị trí xuất phát.</t>
  </si>
  <si>
    <t>Đi đúng đích và mô tả được hướng cuối cùng.</t>
  </si>
  <si>
    <t>Không dùng khối 'mãi mãi' ở buổi đầu để tránh robot chạy liên tục.</t>
  </si>
  <si>
    <t>Tư duy code</t>
  </si>
  <si>
    <t>Dự đoán trước khi bấm Run</t>
  </si>
  <si>
    <t>Học trace chương trình bằng tay và dự đoán vị trí cuối.</t>
  </si>
  <si>
    <t>Đọc 5 chương trình mẫu; đánh dấu điểm cuối trước khi Run để kiểm chứng.</t>
  </si>
  <si>
    <t>Tạo 'câu đố code' cho bạn cùng cặp.</t>
  </si>
  <si>
    <t>Phiếu dự đoán 5 câu.</t>
  </si>
  <si>
    <t>Dự đoán đúng ≥4/5 hoặc giải thích được chỗ sai.</t>
  </si>
  <si>
    <t>Robot thật chỉ chạy sau khi nhóm đã đánh dấu dự đoán.</t>
  </si>
  <si>
    <t>Thám tử lỗi chương trình</t>
  </si>
  <si>
    <t>Biết sửa lỗi thứ tự, quay sai hướng hoặc thừa/thiếu khối.</t>
  </si>
  <si>
    <t>Sửa 4 chương trình lỗi trên virtual; chọn 1 chương trình chạy robot thật.</t>
  </si>
  <si>
    <t>Chỉ được thay tối đa 1–2 khối cho mỗi lỗi.</t>
  </si>
  <si>
    <t>Hộ chiếu thám tử code.</t>
  </si>
  <si>
    <t>Sửa được ≥3 lỗi theo quy trình, không xóa làm lại toàn bộ.</t>
  </si>
  <si>
    <t>Dùng Stop ngay khi robot ra ngoài khu thử.</t>
  </si>
  <si>
    <t>Chờ một chút! – Thời gian trong chương trình</t>
  </si>
  <si>
    <t>Hiểu khối chờ tạo khoảng dừng và ảnh hưởng nhịp hành động.</t>
  </si>
  <si>
    <t>Tạo chuỗi tiến–chờ–quay–chờ–tiến; so sánh với bản không có chờ.</t>
  </si>
  <si>
    <t>Tạo 'robot lễ phép' dừng ở 2 trạm trước khi đi tiếp.</t>
  </si>
  <si>
    <t>Chương trình có ít nhất 2 khoảng chờ có chủ đích.</t>
  </si>
  <si>
    <t>Giải thích được vì sao cần chờ ở từng vị trí.</t>
  </si>
  <si>
    <t>Không để trẻ tự thay đổi thời gian quá dài; giữ buổi học nhịp nhanh.</t>
  </si>
  <si>
    <t>Âm thanh</t>
  </si>
  <si>
    <t>Rio biết nói bằng âm thanh</t>
  </si>
  <si>
    <t>Dùng khối cảnh báo/nhạc để tạo phản hồi cho hành trình.</t>
  </si>
  <si>
    <t>Thêm phát loa cảnh báo hoặc bài nhạc vào trạm đến; chạy thử virtual/robot.</t>
  </si>
  <si>
    <t>Thiết kế 2 thông điệp khác nhau: vui mừng và cảnh báo.</t>
  </si>
  <si>
    <t>Bảng mã âm thanh của nhóm.</t>
  </si>
  <si>
    <t>Chọn âm phù hợp và đặt đúng vị trí trong chương trình.</t>
  </si>
  <si>
    <t>Âm lượng vừa, không đặt robot sát tai.</t>
  </si>
  <si>
    <t>Mini Maker</t>
  </si>
  <si>
    <t>Nhạc sĩ nhí – Phát nốt nhạc</t>
  </si>
  <si>
    <t>Tạo dãy nốt đơn giản và phối hợp với chuyển động.</t>
  </si>
  <si>
    <t>Tạo giai điệu ngắn 4–6 nốt; thêm một chuyển động giữa hai cụm nốt.</t>
  </si>
  <si>
    <t>Bạn khác nghe và đoán đoạn nào lặp.</t>
  </si>
  <si>
    <t>Giai điệu 10–20 giây của nhóm.</t>
  </si>
  <si>
    <t>Chuỗi phát đúng thứ tự và có bắt đầu/kết thúc rõ.</t>
  </si>
  <si>
    <t>Giới hạn âm lượng và thời lượng phát liên tục.</t>
  </si>
  <si>
    <t>Vòng lặp đầu tiên trên App</t>
  </si>
  <si>
    <t>Dùng khối lặp theo số lần để rút gọn thao tác lặp.</t>
  </si>
  <si>
    <t>So sánh 4 khối 'tiến' với 1 khối tiến nằm trong lặp 4 lần.</t>
  </si>
  <si>
    <t>Thử N=2,3,4 và dự đoán quãng đường.</t>
  </si>
  <si>
    <t>Ba phiên bản chương trình lặp.</t>
  </si>
  <si>
    <t>Chọn số lần lặp phù hợp và giải thích code ngắn hơn.</t>
  </si>
  <si>
    <t>Kiểm tra chiều dài đường trước khi tăng số lần lặp.</t>
  </si>
  <si>
    <t>Hình vuông bằng vòng lặp</t>
  </si>
  <si>
    <t>Dùng mẫu tiến–quay 90° lặp 4 lần để tạo đường vuông.</t>
  </si>
  <si>
    <t>Code tiến–quay và lặp 4; chạy virtual rồi dùng kẹp bút/sa bàn lớn với robot thật.</t>
  </si>
  <si>
    <t>Thay số lặp hoặc đổi hướng quay và dự đoán hình.</t>
  </si>
  <si>
    <t>Hình vuông/đường vuông khép kín.</t>
  </si>
  <si>
    <t>Dùng đúng mẫu lặp và quay 90°; tự sửa nếu không khép kín.</t>
  </si>
  <si>
    <t>Giáo viên gắn bút chắc; không dùng bút mực dễ lem.</t>
  </si>
  <si>
    <t>Mẫu lặp chuyển động + âm thanh</t>
  </si>
  <si>
    <t>Kết hợp loop với âm thanh và chờ để tạo 'điệu nhảy Rio'.</t>
  </si>
  <si>
    <t>Tạo đoạn 3–4 khối (di chuyển/chờ/nhạc) rồi lặp 2–3 lần.</t>
  </si>
  <si>
    <t>Nhóm khác nhận xét: quá dài, lặp đúng, có điểm dừng không.</t>
  </si>
  <si>
    <t>Điệu nhảy Rio 20–30 giây.</t>
  </si>
  <si>
    <t>Chương trình lặp ổn định; kết thúc ở vị trí an toàn.</t>
  </si>
  <si>
    <t>Không dùng lặp mãi mãi với robot thật nếu không có giáo viên kiểm soát.</t>
  </si>
  <si>
    <t>Thử thách</t>
  </si>
  <si>
    <t>Mê cung ảo – Ít khối hơn</t>
  </si>
  <si>
    <t>Vận dụng chuỗi, lặp, chờ và debug để giải mê cung; bước đầu tối ưu chương trình.</t>
  </si>
  <si>
    <t>Code mê cung trên virtual; đếm số khối; thử rút gọn bằng vòng lặp.</t>
  </si>
  <si>
    <t>Đổi mê cung cho nhóm khác, không tiết lộ đáp án.</t>
  </si>
  <si>
    <t>Phiếu V1/V2 và số khối giảm được.</t>
  </si>
  <si>
    <t>Hoàn thành đích, có ít nhất 1 cải tiến sau test.</t>
  </si>
  <si>
    <t>Virtual trước, robot thật sau; khu chạy có viền an toàn.</t>
  </si>
  <si>
    <t>Rio kể chuyện bằng code</t>
  </si>
  <si>
    <t>Tổng hợp di chuyển, chờ, âm thanh/nhạc và vòng lặp thành câu chuyện 3 cảnh.</t>
  </si>
  <si>
    <t>Lập storyboard 3 cảnh; code trên virtual; test robot; trang trí sa bàn.</t>
  </si>
  <si>
    <t>Bạn khác xem mà không nghe giải thích và đoán câu chuyện; nhóm chỉnh V2.</t>
  </si>
  <si>
    <t>Video câu chuyện 45–60 giây + code V2.</t>
  </si>
  <si>
    <t>Chương trình chạy trọn vẹn, có ≥3 loại khối và một lần cải tiến.</t>
  </si>
  <si>
    <t>Giáo viên duyệt đường chạy và phụ kiện trước khi quay.</t>
  </si>
  <si>
    <t>Robot biết 'nhìn' môi trường như thế nào?</t>
  </si>
  <si>
    <t>Hiểu trực quan rằng Rio có chế độ/cảm biến giúp phản ứng với đường và vật cản.</t>
  </si>
  <si>
    <t>Quan sát Rio ở mode né vật cản và dò line; ghi lại 'thấy gì → làm gì'.</t>
  </si>
  <si>
    <t>Thay vị trí vật cản/đường line và dự đoán trước khi thử.</t>
  </si>
  <si>
    <t>Bảng quan sát Input–Action.</t>
  </si>
  <si>
    <t>Nêu đúng ít nhất 2 mối quan hệ môi trường–hành động.</t>
  </si>
  <si>
    <t>Sa bàn trên sàn/bàn có viền; vật cản mềm.</t>
  </si>
  <si>
    <t>Thực hành</t>
  </si>
  <si>
    <t>Né vật cản – Robot không va chạm</t>
  </si>
  <si>
    <t>Dùng mode né vật cản để khảo sát khoảng cách/hướng tiếp cận.</t>
  </si>
  <si>
    <t>Cho Rio chạy né vật cản ở 3 bố cục; quan sát chỗ tốt/chỗ khó.</t>
  </si>
  <si>
    <t>Thiết kế bố cục khiến Rio phải đổi hướng nhiều hơn.</t>
  </si>
  <si>
    <t>Bản đồ 3 bố cục + nhận xét.</t>
  </si>
  <si>
    <t>Dự đoán hợp lý và quan sát có dẫn chứng.</t>
  </si>
  <si>
    <t>Không dùng vật cản có cạnh sắc; giữ khoảng cách với chân trẻ.</t>
  </si>
  <si>
    <t>Thực hành App</t>
  </si>
  <si>
    <t>Khối dò line 1 giây</t>
  </si>
  <si>
    <t>Làm quen khối dò line trong App và so sánh với khối tiến thẳng.</t>
  </si>
  <si>
    <t>Tạo chương trình dò line 1s → dừng → nhạc; chạy trên đoạn line ngắn.</t>
  </si>
  <si>
    <t>Tăng/giảm số lần thực hiện để đến đúng trạm.</t>
  </si>
  <si>
    <t>Chương trình dừng đúng vùng đích.</t>
  </si>
  <si>
    <t>Chọn đúng khối và đặt Stop/âm thanh hợp lý.</t>
  </si>
  <si>
    <t>Căn line trước giờ; dùng khu vực đủ dài.</t>
  </si>
  <si>
    <t>Dò line vô hạn và nút Stop</t>
  </si>
  <si>
    <t>Hiểu hành động 'mãi mãi' cần cơ chế dừng chủ động khi thử nghiệm.</t>
  </si>
  <si>
    <t>Chạy dò line vô hạn trên vòng line; thực hành dừng tại các mốc do giáo viên gọi.</t>
  </si>
  <si>
    <t>So sánh dùng vô hạn với dùng 1s trong 2 tình huống.</t>
  </si>
  <si>
    <t>Phiếu 'khi nào dùng 1s/khi nào dùng vô hạn'.</t>
  </si>
  <si>
    <t>Dùng Stop đúng thời điểm và chọn được kiểu phù hợp tình huống.</t>
  </si>
  <si>
    <t>Giáo viên luôn đứng ở vị trí tiếp cận robot; line không sát mép.</t>
  </si>
  <si>
    <t>Dò line đến vật cản</t>
  </si>
  <si>
    <t>Dùng khối dò line đến vật cản để tạo nhiệm vụ 'đi tới trạm'.</t>
  </si>
  <si>
    <t>Code: dò line đến vật cản → dừng → phát cảnh báo/nhạc.</t>
  </si>
  <si>
    <t>Đổi khoảng cách trạm và dự đoán robot có dừng đúng không.</t>
  </si>
  <si>
    <t>Xe buýt Rio dừng tại bến.</t>
  </si>
  <si>
    <t>Chuỗi chạy đầy đủ 3 bước và không đâm mạnh vào trạm.</t>
  </si>
  <si>
    <t>Vật cản mềm, đủ lớn; kiểm tra cảm biến trước buổi.</t>
  </si>
  <si>
    <t>Trạm cảnh báo thông minh</t>
  </si>
  <si>
    <t>Kết hợp line, dừng, chờ và âm thanh để tạo trạm an toàn.</t>
  </si>
  <si>
    <t>Thiết kế biển/trạm; code Rio đi tới, dừng 1s, phát cảnh báo rồi phát nhạc.</t>
  </si>
  <si>
    <t>Bạn khác đánh giá có hiểu 'cảnh báo' không.</t>
  </si>
  <si>
    <t>Trạm cảnh báo hoạt động.</t>
  </si>
  <si>
    <t>Thông điệp rõ, robot dừng ổn định và âm thanh vừa đủ.</t>
  </si>
  <si>
    <t>Giáo viên cắt bìa; âm lượng vừa.</t>
  </si>
  <si>
    <t>Nhà ga Rio</t>
  </si>
  <si>
    <t>Thiết kế tuyến một chiều theo line với nhiều trạm quan sát.</t>
  </si>
  <si>
    <t>Chạy từng đoạn line; tại ga dùng dừng/chờ/nhạc; ghép hành trình hoàn chỉnh.</t>
  </si>
  <si>
    <t>Nếu Rio dừng lệch, thay vị trí trạm hoặc điều chỉnh chương trình.</t>
  </si>
  <si>
    <t>Tuyến A→B→C có 2 điểm dừng rõ.</t>
  </si>
  <si>
    <t>Test từng đoạn và hoàn thành toàn tuyến sau ≤2 lần sửa.</t>
  </si>
  <si>
    <t>Không bố trí line giao nhau quá phức tạp ở tuổi 6–7.</t>
  </si>
  <si>
    <t>Giao hàng tự động</t>
  </si>
  <si>
    <t>Vận dụng line-to-obstacle để đưa 'gói hàng' tới điểm nhận.</t>
  </si>
  <si>
    <t>Gắn khay nhẹ; Rio đi line tới điểm giao, dừng và phát nhạc.</t>
  </si>
  <si>
    <t>Tối ưu vị trí gói/khay để robot ổn định hơn.</t>
  </si>
  <si>
    <t>Nhiệm vụ giao hàng 1 điểm.</t>
  </si>
  <si>
    <t>Không làm rơi hàng và dừng đúng vùng nhận.</t>
  </si>
  <si>
    <t>Tải rất nhẹ, không che cảm biến, không buộc dây gần bánh.</t>
  </si>
  <si>
    <t>Giao thông thông minh</t>
  </si>
  <si>
    <t>Mô phỏng xe tự hành tuân thủ trạm dừng và cảnh báo.</t>
  </si>
  <si>
    <t>Code Rio theo line tới trạm, chờ, phát âm báo, rồi tiếp tục đoạn kế tiếp bằng chương trình phù hợp.</t>
  </si>
  <si>
    <t>Nhóm khác cố tìm một tình huống gây lỗi để nhóm sửa.</t>
  </si>
  <si>
    <t>Tuyến giao thông an toàn.</t>
  </si>
  <si>
    <t>Giải thích được vì sao có bước dừng/chờ.</t>
  </si>
  <si>
    <t>Không dùng sa bàn quá đông robot cùng lúc; chạy lần lượt.</t>
  </si>
  <si>
    <t>Trạm sửa lỗi robot tự hành</t>
  </si>
  <si>
    <t>Nhận ra lỗi có thể nằm ở code, đường line hoặc vị trí/vật cản.</t>
  </si>
  <si>
    <t>Nhóm dùng checklist: đúng block? robot đặt đúng line? vật cản đủ rõ? rồi sửa từng trạm.</t>
  </si>
  <si>
    <t>Chỉ thay một yếu tố mỗi lần để biết nguyên nhân.</t>
  </si>
  <si>
    <t>Hộ chiếu debug tự hành.</t>
  </si>
  <si>
    <t>Xác định đúng loại lỗi ở ≥2/3 trạm và mô tả cách kiểm chứng.</t>
  </si>
  <si>
    <t>Không mở robot; chỉ sửa code/sa bàn/vị trí đặt.</t>
  </si>
  <si>
    <t>Thiết kế</t>
  </si>
  <si>
    <t>Nhiệm vụ cứu hộ Rio</t>
  </si>
  <si>
    <t>Phân rã nhiệm vụ thành: đến nơi → cảnh báo → chờ → hoàn thành.</t>
  </si>
  <si>
    <t>Nhóm vẽ bản đồ, tạo line tới 'người cần giúp', code dừng + cảnh báo + nhạc thành công.</t>
  </si>
  <si>
    <t>Giới hạn số khối/độ dài line để buộc nhóm lập kế hoạch.</t>
  </si>
  <si>
    <t>Prototype cứu hộ V1/V2.</t>
  </si>
  <si>
    <t>Có kế hoạch trước code và ít nhất một cải tiến sau test.</t>
  </si>
  <si>
    <t>Không dùng nội dung gây sợ; vật thể giấy/xốp mềm.</t>
  </si>
  <si>
    <t>Tuyến giao hàng thông minh – Demo Day</t>
  </si>
  <si>
    <t>Tổng hợp dò line, dừng, âm thanh, chờ và debug thành hệ thống hoàn chỉnh.</t>
  </si>
  <si>
    <t>Xây tuyến, code, test với người dùng, quay video; chuẩn bị 1 phút trình bày.</t>
  </si>
  <si>
    <t>Khách thử đổi vị trí 1 trạm; nhóm điều chỉnh nếu cần.</t>
  </si>
  <si>
    <t>Tuyến tự hành hoàn chỉnh + poster sơ đồ.</t>
  </si>
  <si>
    <t>Chạy ổn định 2 lần liên tiếp; bé giải thích được 3 khối chính và 1 lỗi đã sửa.</t>
  </si>
  <si>
    <t>Giáo viên duyệt tải, line và vùng chạy trước demo.</t>
  </si>
  <si>
    <t>Tư duy thiết kế</t>
  </si>
  <si>
    <t>Một nhiệm vụ lớn gồm những việc nhỏ nào?</t>
  </si>
  <si>
    <t>Biết phân rã nhiệm vụ thành các bước trước khi mở App.</t>
  </si>
  <si>
    <t>Phân rã một nhiệm vụ Rio 3 chặng; chỉ sau khi duyệt thẻ mới mở App.</t>
  </si>
  <si>
    <t>Nhóm khác kiểm tra xem có thiếu bước không.</t>
  </si>
  <si>
    <t>Sơ đồ 3 chặng + chương trình tương ứng.</t>
  </si>
  <si>
    <t>Kế hoạch đủ bước và code bám kế hoạch.</t>
  </si>
  <si>
    <t>Giảm thời gian màn hình bằng planning offline trước.</t>
  </si>
  <si>
    <t>Sơ đồ hành trình &amp; storyboard</t>
  </si>
  <si>
    <t>Biết dùng sơ đồ hình để mô tả thuật toán trước khi kéo khối.</t>
  </si>
  <si>
    <t>Vẽ storyboard 4 cảnh cho Rio, sau đó chuyển từng cảnh thành block.</t>
  </si>
  <si>
    <t>Bạn khác đọc storyboard và dự đoán robot làm gì.</t>
  </si>
  <si>
    <t>Storyboard + code 4 cảnh.</t>
  </si>
  <si>
    <t>Người khác hiểu được ý tưởng mà chưa cần chạy code.</t>
  </si>
  <si>
    <t>Không dùng quá nhiều chi tiết trang trí làm che line/cảm biến.</t>
  </si>
  <si>
    <t>Tối ưu</t>
  </si>
  <si>
    <t>Code ngắn hơn bằng vòng lặp</t>
  </si>
  <si>
    <t>Tìm phần lặp và rút gọn số khối mà vẫn giữ kết quả.</t>
  </si>
  <si>
    <t>Cho chương trình dài; nhóm khoanh đoạn lặp và chuyển sang repeat.</t>
  </si>
  <si>
    <t>Thi ai giảm nhiều khối nhất nhưng kết quả vẫn đúng.</t>
  </si>
  <si>
    <t>Bảng V1/V2 + số khối giảm.</t>
  </si>
  <si>
    <t>Kết quả V2 giống V1 và giải thích được phần lặp.</t>
  </si>
  <si>
    <t>Test trên virtual trước khi robot thật chạy bản tối ưu.</t>
  </si>
  <si>
    <t>Âm thanh &amp; thời gian</t>
  </si>
  <si>
    <t>Nhạc, chờ và chuyển động có nhịp</t>
  </si>
  <si>
    <t>Điều phối nhiều hành động theo thời gian để tạo biểu diễn rõ ràng.</t>
  </si>
  <si>
    <t>Code biểu diễn 20–30 giây: động tác–chờ–nốt/nhạc–lặp.</t>
  </si>
  <si>
    <t>Sửa biểu diễn bị 'quá nhanh' hoặc 'mất nhịp'.</t>
  </si>
  <si>
    <t>Vũ điệu Rio V2.</t>
  </si>
  <si>
    <t>Có nhịp chờ hợp lý, lặp đúng và kết thúc chủ động.</t>
  </si>
  <si>
    <t>Âm lượng vừa; khu biểu diễn rộng.</t>
  </si>
  <si>
    <t>Toán &amp; Maker</t>
  </si>
  <si>
    <t>Robot họa sĩ – Hình và hoa văn</t>
  </si>
  <si>
    <t>Dùng quay 90°, di chuyển và vòng lặp để tạo hoa văn đường thẳng đơn giản.</t>
  </si>
  <si>
    <t>Thiết kế pattern trên lưới; code virtual; dùng kẹp bút vẽ bản thật.</t>
  </si>
  <si>
    <t>Đổi một tham số (số lặp/hướng) và dự đoán hình mới.</t>
  </si>
  <si>
    <t>Poster 'hoa văn bằng thuật toán'.</t>
  </si>
  <si>
    <t>Pattern thể hiện rõ quy luật và bé mô tả được quy luật.</t>
  </si>
  <si>
    <t>Bút đầu tù, giấy cố định, không để robot vướng bút.</t>
  </si>
  <si>
    <t>Cùng một đích – nhiều cách đi</t>
  </si>
  <si>
    <t>So sánh 2–3 lời giải và chọn theo tiêu chí số khối/độ an toàn/dễ hiểu.</t>
  </si>
  <si>
    <t>Mỗi nhóm code 2 lời giải; đếm khối; test độ ổn định; chọn và bảo vệ lựa chọn.</t>
  </si>
  <si>
    <t>Giáo viên thêm một vật cản làm thay đổi lựa chọn.</t>
  </si>
  <si>
    <t>Bảng so sánh 2 lời giải.</t>
  </si>
  <si>
    <t>Nêu được ít nhất 2 tiêu chí và chọn có lý do.</t>
  </si>
  <si>
    <t>Ưu tiên đường an toàn, không chỉ đường ngắn.</t>
  </si>
  <si>
    <t>Bệnh viện code – Sửa lỗi có phương pháp</t>
  </si>
  <si>
    <t>Dùng checklist cố định thay vì xóa toàn bộ khi chương trình lỗi.</t>
  </si>
  <si>
    <t>Sửa chương trình có lỗi sequence, repeat, wait và line/trạm; ghi từng lần thử.</t>
  </si>
  <si>
    <t>Nhóm tạo một lỗi an toàn cho nhóm khác.</t>
  </si>
  <si>
    <t>Hồ sơ debug 4 bước.</t>
  </si>
  <si>
    <t>Ghi được giả thuyết→thử→kết quả→sửa; sửa ≥3 lỗi.</t>
  </si>
  <si>
    <t>Không tạo lỗi phần cứng; giáo viên duyệt lỗi.</t>
  </si>
  <si>
    <t>Game design</t>
  </si>
  <si>
    <t>Thiết kế trò chơi cho nhóm khác</t>
  </si>
  <si>
    <t>Tạo nhiệm vụ có luật rõ, mục tiêu, đường đi và tiêu chí thắng.</t>
  </si>
  <si>
    <t>Nhóm thiết kế sa bàn và code/luật; nhóm khác chơi thử không được giải thích miệng quá nhiều.</t>
  </si>
  <si>
    <t>Sửa luật hoặc bố cục nếu người chơi hiểu sai.</t>
  </si>
  <si>
    <t>Trò chơi Rio V2 + thẻ luật.</t>
  </si>
  <si>
    <t>Nhóm khác chơi được với tối đa 1 gợi ý.</t>
  </si>
  <si>
    <t>Không dùng cơ chế va chạm/đấu đối kháng.</t>
  </si>
  <si>
    <t>Storytelling</t>
  </si>
  <si>
    <t>Rio kể chuyện có tương tác</t>
  </si>
  <si>
    <t>Dùng không gian, âm thanh, chờ và đường đi để kể một câu chuyện có điểm nhấn.</t>
  </si>
  <si>
    <t>Thiết kế 3 cảnh trên sa bàn; mỗi cảnh có chuyển động và âm thanh riêng.</t>
  </si>
  <si>
    <t>Người xem chọn thứ tự 2 cảnh giữa; nhóm chuẩn bị 2 phiên bản chương trình.</t>
  </si>
  <si>
    <t>Câu chuyện Rio 45–60 giây.</t>
  </si>
  <si>
    <t>Câu chuyện dễ theo dõi; khối lệnh khớp storyboard.</t>
  </si>
  <si>
    <t>Props nhẹ, không che cảm biến/đường chạy.</t>
  </si>
  <si>
    <t>Design challenge</t>
  </si>
  <si>
    <t>Tự tạo nhiệm vụ – Từ yêu cầu đến prototype</t>
  </si>
  <si>
    <t>Nhận một yêu cầu mở và tạo giải pháp Rio phù hợp.</t>
  </si>
  <si>
    <t>Viết 3 yêu cầu; phác sa bàn; code prototype V1; test nhanh.</t>
  </si>
  <si>
    <t>Đổi cho nhóm khác test và thu 2 góp ý.</t>
  </si>
  <si>
    <t>Prototype V1 + phiếu feedback.</t>
  </si>
  <si>
    <t>Đáp ứng ≥2/3 yêu cầu và ghi được góp ý cụ thể.</t>
  </si>
  <si>
    <t>Giáo viên loại bỏ yêu cầu vượt khả năng/safety của kit.</t>
  </si>
  <si>
    <t>Cải tiến</t>
  </si>
  <si>
    <t>Từ V1 đến V2 – Test người dùng</t>
  </si>
  <si>
    <t>Học cải tiến một sản phẩm thay vì chỉ làm mới.</t>
  </si>
  <si>
    <t>Chọn 1 lỗi/điểm khó từ buổi 10; sửa code hoặc sa bàn; test lại 2 lần.</t>
  </si>
  <si>
    <t>Đo bằng tiêu chí đơn giản: thành công/không, số lần trợ giúp, số lần robot lệch.</t>
  </si>
  <si>
    <t>Prototype V2 + dữ liệu 2 lần test.</t>
  </si>
  <si>
    <t>Nêu được 'vì sao sửa' và bằng chứng V2 tốt hơn.</t>
  </si>
  <si>
    <t>Mỗi lần chỉ thay 1–2 yếu tố để dễ quan sát.</t>
  </si>
  <si>
    <t>Maker Day – Thành phố Rio thông minh</t>
  </si>
  <si>
    <t>Tổng hợp toàn bộ kỹ năng thành dự án nhóm có thuật toán, sa bàn, demo và thuyết trình.</t>
  </si>
  <si>
    <t>Hoàn thiện sa bàn + code V2; chạy 2 lần; chuẩn bị poster sơ đồ và demo 2 phút.</t>
  </si>
  <si>
    <t>Người xem đặt 1 câu hỏi 'nếu thay đổi...' để bé giải thích cách sửa.</t>
  </si>
  <si>
    <t>Dự án hoàn chỉnh + poster thuật toán + video.</t>
  </si>
  <si>
    <t>Chạy ổn định 2 lần; có vòng lặp/âm thanh hoặc line phù hợp; bé nêu 1 lỗi và 1 cải tiến.</t>
  </si>
  <si>
    <t>Giáo viên duyệt toàn bộ sa bàn/phụ kiện; không dùng điện ngoài hệ Rio.</t>
  </si>
  <si>
    <t>K02 | KHÁM PHÁ MỞ RỘNG &amp; TƯ DUY THUẬT TOÁN</t>
  </si>
  <si>
    <t>Giai đoạn 1 – Làm quen robot không màn hình | Độ tuổi tham khảo: 5–6 tuổi | 12 buổi × 90 phút | Tổng hợp từ folder Khóa 2; Bài 11 là đề xuất bổ sung</t>
  </si>
  <si>
    <t>Mỗi sinh vật phù hợp với một môi trường; phân loại và giải thích.</t>
  </si>
  <si>
    <t>Ghép thẻ con vật/cây với thẻ môi trường bằng hoạt động cả lớp.</t>
  </si>
  <si>
    <t>Rio, thẻ sinh vật/môi trường, bản đồ trắng, vật cản.</t>
  </si>
  <si>
    <t>Ảnh sản phẩm + video hành trình ếch về nhà.</t>
  </si>
  <si>
    <t>Bản đồ thế giới; đa dạng địa lý/văn hóa ở mức trực quan.</t>
  </si>
  <si>
    <t>Xem hình/video các châu lục và địa danh nổi bật.</t>
  </si>
  <si>
    <t>Rio, bản đồ, thẻ châu lục/địa danh/chữ cái.</t>
  </si>
  <si>
    <t>Ảnh bản đồ + câu bé giới thiệu Việt Nam/châu Á.</t>
  </si>
  <si>
    <t>Vòng đời; mẫu lặp; dùng lệnh lặp để rút gọn thao tác.</t>
  </si>
  <si>
    <t>Sắp xếp thẻ trứng→nòng nọc→ếch con→ếch trưởng thành.</t>
  </si>
  <si>
    <t>Rio, thẻ vòng đời, thẻ lệnh, mặt nạ ếch.</t>
  </si>
  <si>
    <t>Video bé giải thích 'lặp giúp gì'.</t>
  </si>
  <si>
    <t>Debug = tìm vị trí sai, sửa và chạy lại; đường một chiều/vật cản.</t>
  </si>
  <si>
    <t>Tìm hành vi đúng/sai trong tranh giao thông.</t>
  </si>
  <si>
    <t>Rio, biển báo, sa bàn đường phố, thẻ lệnh.</t>
  </si>
  <si>
    <t>Ảnh chuỗi lệnh trước/sau.</t>
  </si>
  <si>
    <t>Nghề–công việc–nơi làm việc; đường đi ngắn; debug.</t>
  </si>
  <si>
    <t>Trò chuyện nghề bé biết và người giúp cộng đồng.</t>
  </si>
  <si>
    <t>Rio, thẻ nghề, mô hình trạm, rác mô phỏng, bộ đẩy.</t>
  </si>
  <si>
    <t>Video nhiệm vụ + thông điệp bảo vệ môi trường.</t>
  </si>
  <si>
    <t>Đọc chương trình từ đầu đến cuối; mô phỏng bằng tay trước khi chạy.</t>
  </si>
  <si>
    <t>Quan sát ảnh/đặc điểm Vịnh Hạ Long, Chùa Một Cột, Ngũ Hành Sơn...</t>
  </si>
  <si>
    <t>Rio, thẻ địa danh, thẻ lệnh, bản đồ.</t>
  </si>
  <si>
    <t>Ảnh câu đố + video kiểm chứng.</t>
  </si>
  <si>
    <t>Hình vuông/chữ nhật/tam giác/tròn; góc quay; mẫu lặp.</t>
  </si>
  <si>
    <t>Tạo hình bằng que/đồ vật và mô tả số cạnh/góc.</t>
  </si>
  <si>
    <t>Rio, kẹp bút, giấy lớn, thẻ hình, thẻ lệnh.</t>
  </si>
  <si>
    <t>Ảnh hình vẽ + video run.</t>
  </si>
  <si>
    <t>Đếm bước; số lần lặp; nhiều/ít hơn.</t>
  </si>
  <si>
    <t>Hát 'Bé tập đếm'; xếp số theo thứ tự.</t>
  </si>
  <si>
    <t>Rio, thẻ số/hình, kẹp bút, sa bàn.</t>
  </si>
  <si>
    <t>Ảnh bảng đếm + video robot.</t>
  </si>
  <si>
    <t>Cộng = tiến, trừ = lùi; điểm bắt đầu và kết quả.</t>
  </si>
  <si>
    <t>Làm quen thang số bằng bước chân.</t>
  </si>
  <si>
    <t>Rio, thang số lớn, thẻ phép tính.</t>
  </si>
  <si>
    <t>Ảnh bài toán + video giải thích.</t>
  </si>
  <si>
    <t>Thứ tự chữ; âm đầu; ghép chuỗi ký tự thành từ.</t>
  </si>
  <si>
    <t>Hát/đọc bảng chữ cái theo nhóm nhỏ.</t>
  </si>
  <si>
    <t>Rio, thẻ chữ, hình vật, kẹp bút.</t>
  </si>
  <si>
    <t>Ảnh từ ghép + video bé phát âm.</t>
  </si>
  <si>
    <t>Chuỗi âm thanh; mẫu lặp; chờ; thứ tự.</t>
  </si>
  <si>
    <t>Vỗ tay theo mẫu 2–4 nhịp; Rio phát nút nhạc.</t>
  </si>
  <si>
    <t>K03 | LẬP TRÌNH KÉO THẢ CÙNG RIO</t>
  </si>
  <si>
    <t>Rio, thẻ nhịp, loa Rio, máy chiếu OhStem App.</t>
  </si>
  <si>
    <t>Video 'Rio nhảy theo nhịp'.</t>
  </si>
  <si>
    <t>Giai đoạn 2 – Lập trình trực quan | Độ tuổi tham khảo: 6 tuổi+ | 12 buổi × 90 phút | Thiết kế mở rộng dựa trên OhStem App/Rio</t>
  </si>
  <si>
    <t>Trình tự thời gian; kể chuyện đầu–giữa–cuối; lựa chọn lành mạnh.</t>
  </si>
  <si>
    <t>Phân loại tranh hoạt động trong ngày nghỉ.</t>
  </si>
  <si>
    <t>Rio, thẻ hoạt động, giấy vẽ, bút màu.</t>
  </si>
  <si>
    <t>K04 | RIO THÔNG MINH – DÒ LINE &amp; NÉ VẬT CẢN</t>
  </si>
  <si>
    <t>Ảnh tranh + video kể chuyện.</t>
  </si>
  <si>
    <t>Giai đoạn 2 – Robot phản ứng với môi trường | Độ tuổi tham khảo: 6–7 tuổi | 12 buổi × 90 phút | Thiết kế mở rộng dựa trên Rio + OhStem App</t>
  </si>
  <si>
    <t>Input từ môi trường → robot thay đổi hành động; không cần đi sâu điện tử.</t>
  </si>
  <si>
    <t>Trẻ đóng vai cảm biến: thấy vạch/vật cản thì giơ thẻ tín hiệu.</t>
  </si>
  <si>
    <t>Rio, line đen, vật cản mềm, thẻ Input–Action.</t>
  </si>
  <si>
    <t>Khối lệnh là phiên bản số của thẻ; chương trình chạy từ trên xuống.</t>
  </si>
  <si>
    <t>Ghép thẻ giấy với khối tương ứng trên màn hình.</t>
  </si>
  <si>
    <t>Video 2 chế độ + câu bé giải thích.</t>
  </si>
  <si>
    <t>OhStem App, máy tính/tablet, Rio, thẻ lệnh.</t>
  </si>
  <si>
    <t>Ảnh màn hình code + video robot.</t>
  </si>
  <si>
    <t>Phản ứng tự động khác với chuỗi lệnh cố định.</t>
  </si>
  <si>
    <t>Tạo mê cung người với chướng ngại vật mềm.</t>
  </si>
  <si>
    <t>Rio, hộp xốp, cọc mềm, băng đánh dấu.</t>
  </si>
  <si>
    <t>Ảnh sa bàn + video 1 thử nghiệm.</t>
  </si>
  <si>
    <t>Trình tự; vị trí; hướng của robot sau mỗi lệnh.</t>
  </si>
  <si>
    <t>Trò chơi người–robot trên lưới sàn.</t>
  </si>
  <si>
    <t>App, Rio, lưới ô vuông, thẻ điểm A/B.</t>
  </si>
  <si>
    <t>Ảnh code A/B + clip ngắn.</t>
  </si>
  <si>
    <t>Dò line dùng đường làm hướng dẫn; '1s' là thời lượng hành động.</t>
  </si>
  <si>
    <t>So sánh robot đi thẳng tự do và robot đi trên line.</t>
  </si>
  <si>
    <t>App, Rio, line thẳng, thẻ trạm.</t>
  </si>
  <si>
    <t>Đọc từ trên xuống; mô phỏng trạng thái robot.</t>
  </si>
  <si>
    <t>Dùng robot giấy và mũi tên trên bàn.</t>
  </si>
  <si>
    <t>Ảnh code + clip tới trạm.</t>
  </si>
  <si>
    <t>App, phiếu lưới, robot giấy, Rio.</t>
  </si>
  <si>
    <t>Phiếu trước/sau + ảnh Run.</t>
  </si>
  <si>
    <t>Forever; Run/Stop; quy tắc thử robot an toàn.</t>
  </si>
  <si>
    <t>Trò 'đi mãi' và học sinh phải hô STOP đúng lúc.</t>
  </si>
  <si>
    <t>App, Rio, line vòng, biển STOP.</t>
  </si>
  <si>
    <t>Debug = quan sát–tìm khối nghi ngờ–sửa một chỗ–thử lại.</t>
  </si>
  <si>
    <t>Trò 'tìm điểm khác nhau' giữa 2 chuỗi khối.</t>
  </si>
  <si>
    <t>Video thao tác Run/Stop.</t>
  </si>
  <si>
    <t>App, Rio, phiếu checklist debug.</t>
  </si>
  <si>
    <t>Robot bám line cho đến khi gặp đối tượng phía trước rồi chuyển bước tiếp theo.</t>
  </si>
  <si>
    <t>Đóng vai xe buýt chạy tới bến.</t>
  </si>
  <si>
    <t>App, Rio, line, vật cản/trạm mềm.</t>
  </si>
  <si>
    <t>Ảnh code trước/sau.</t>
  </si>
  <si>
    <t>Clip xe buýt dừng bến.</t>
  </si>
  <si>
    <t>Chờ 1s; thứ tự và thời gian; hành động không phải lúc nào cũng liên tục.</t>
  </si>
  <si>
    <t>Trò tượng đứng yên theo tín hiệu 1–2 giây.</t>
  </si>
  <si>
    <t>Sự kiện kết thúc hành trình có thể kích hoạt Output kế tiếp.</t>
  </si>
  <si>
    <t>App, Rio, thẻ trạm, đồng hồ đếm.</t>
  </si>
  <si>
    <t>Nhìn biển cảnh báo và đoán thông điệp âm thanh.</t>
  </si>
  <si>
    <t>Video 2 phiên bản.</t>
  </si>
  <si>
    <t>App, Rio, line, bìa, thẻ biển báo.</t>
  </si>
  <si>
    <t>Video trạm + ảnh biển.</t>
  </si>
  <si>
    <t>Âm thanh là Output; có thể mang thông điệp.</t>
  </si>
  <si>
    <t>Nghe 3 âm thanh và đoán tình huống phù hợp.</t>
  </si>
  <si>
    <t>K05 | XƯỞNG SÁNG TẠO THUẬT TOÁN RIO</t>
  </si>
  <si>
    <t>Phân đoạn nhiệm vụ; trạm 1/trạm 2; test từng đoạn trước khi ghép.</t>
  </si>
  <si>
    <t>Xếp thẻ ga A–B–C theo câu chuyện.</t>
  </si>
  <si>
    <t>App, Rio, thẻ tình huống.</t>
  </si>
  <si>
    <t>App, Rio, line, ga mô hình.</t>
  </si>
  <si>
    <t>Video Rio đến trạm và phát âm.</t>
  </si>
  <si>
    <t>Ảnh tuyến + video hành trình.</t>
  </si>
  <si>
    <t>Giai đoạn 3 – Thiết kế &amp; giải quyết vấn đề | Độ tuổi tham khảo: 7 tuổi | 12 buổi × 90 phút | Thiết kế mở rộng dựa trên Rio + OhStem App</t>
  </si>
  <si>
    <t>Nốt nhạc theo thứ tự; mẫu 2–4 nốt; nhịp chờ.</t>
  </si>
  <si>
    <t>Robot tự hành vẫn cần con người thiết kế tuyến và kiểm thử.</t>
  </si>
  <si>
    <t>Vỗ/đọc tiết tấu bằng ký hiệu màu.</t>
  </si>
  <si>
    <t>Trò giao hàng bằng tay theo tuyến có biển chỉ dẫn.</t>
  </si>
  <si>
    <t>App, Rio, thẻ nốt màu, loa.</t>
  </si>
  <si>
    <t>App, Rio, khay nhẹ, gói xốp, line.</t>
  </si>
  <si>
    <t>Clip 'Rio biểu diễn'.</t>
  </si>
  <si>
    <t>Clip giao hàng + ảnh V1/V2 khay.</t>
  </si>
  <si>
    <t>Dừng–chờ–đi; biển báo là quy tắc bên ngoài chương trình.</t>
  </si>
  <si>
    <t>Repeat N; khối bên trong được thực hiện nhiều lần.</t>
  </si>
  <si>
    <t>Xem sa bàn ngã tư và đặt biển STOP.</t>
  </si>
  <si>
    <t>Trò lặp động tác tay 3 lần rồi viết bằng thẻ.</t>
  </si>
  <si>
    <t>App, Rio, sa bàn đường phố, biển báo.</t>
  </si>
  <si>
    <t>App, Rio, lưới dài, phiếu trước/sau.</t>
  </si>
  <si>
    <t>Video mô phỏng + checklist.</t>
  </si>
  <si>
    <t>Ảnh 2 chương trình tương đương.</t>
  </si>
  <si>
    <t>Ba nhóm nguyên nhân: chương trình – đường line – bố trí vật cản.</t>
  </si>
  <si>
    <t>Giáo viên cho 3 trạm lỗi an toàn.</t>
  </si>
  <si>
    <t>App, Rio, 3 sa bàn lỗi, checklist.</t>
  </si>
  <si>
    <t>Mẫu lặp 2 bước; 4 góc vuông; chương trình lặp.</t>
  </si>
  <si>
    <t>Đi bộ thành hình vuông trên sàn theo nhịp.</t>
  </si>
  <si>
    <t>Ảnh trạm trước/sau.</t>
  </si>
  <si>
    <t>App, Rio, giấy lớn, kẹp bút.</t>
  </si>
  <si>
    <t>Ảnh hình vẽ + code.</t>
  </si>
  <si>
    <t>Sơ đồ nhiệm vụ và thứ tự ưu tiên.</t>
  </si>
  <si>
    <t>Kể tình huống cứu hộ giả tưởng, không mô phỏng nguy hiểm thật.</t>
  </si>
  <si>
    <t>App, Rio, line, nhân vật giấy, thẻ nhiệm vụ.</t>
  </si>
  <si>
    <t>Ảnh sơ đồ + video V2.</t>
  </si>
  <si>
    <t>Một vòng lặp có thể chứa nhiều loại hành động.</t>
  </si>
  <si>
    <t>Xem giáo viên biểu diễn mẫu 3 động tác.</t>
  </si>
  <si>
    <t>App, Rio, khu biểu diễn, thẻ nhịp.</t>
  </si>
  <si>
    <t>Video biểu diễn + ảnh code.</t>
  </si>
  <si>
    <t>Nhiều lời giải có thể cùng đúng; lời giải gọn giúp dễ đọc/sửa.</t>
  </si>
  <si>
    <t>Giải mê cung giấy bằng mũi tên.</t>
  </si>
  <si>
    <t>Thiết kế–test–cải tiến–trình bày.</t>
  </si>
  <si>
    <t>Chọn 1 trong 3 chủ đề: xe buýt, giao hàng, cứu hộ.</t>
  </si>
  <si>
    <t>App, mê cung ảo/phiếu, Rio nếu có sa bàn tương ứng.</t>
  </si>
  <si>
    <t>App, Rio, sa bàn, vật liệu Maker, rubric.</t>
  </si>
  <si>
    <t>Ảnh V1/V2.</t>
  </si>
  <si>
    <t>Video 60 giây + poster + ảnh nhóm.</t>
  </si>
  <si>
    <t>Thuật toán phục vụ câu chuyện; phân đoạn mở đầu–cao trào–kết thúc.</t>
  </si>
  <si>
    <t>Chọn 1 trong 3 chủ đề: cứu hộ, đi picnic, khám phá vũ trụ.</t>
  </si>
  <si>
    <t>App, Rio, vật liệu sa bàn, phiếu storyboard.</t>
  </si>
  <si>
    <t>Video cuối khóa + ảnh storyboard/code.</t>
  </si>
  <si>
    <t>Phân rã: mục tiêu → chặng → hành động; code sau kế hoạch.</t>
  </si>
  <si>
    <t>Giải nhiệm vụ đời thường 'đi lấy nước' bằng thẻ bước.</t>
  </si>
  <si>
    <t>Phiếu kế hoạch, thẻ hành động, App, Rio.</t>
  </si>
  <si>
    <t>Ảnh phiếu trước code + ảnh chương trình.</t>
  </si>
  <si>
    <t>Mũi tên, trạm, lặp, âm thanh; biểu diễn khác nhau nhưng cùng thuật toán.</t>
  </si>
  <si>
    <t>Ghép thẻ sơ đồ với 3 chương trình mẫu.</t>
  </si>
  <si>
    <t>Phiếu storyboard, App, Rio.</t>
  </si>
  <si>
    <t>Ảnh storyboard + code.</t>
  </si>
  <si>
    <t>Tương đương chương trình; số khối; repeat N.</t>
  </si>
  <si>
    <t>So sánh 2 đoạn code có cùng kết quả.</t>
  </si>
  <si>
    <t>App, Rio, phiếu code in.</t>
  </si>
  <si>
    <t>Timing; thứ tự; pattern; repeat.</t>
  </si>
  <si>
    <t>Vỗ nhịp 4 phách và đặt thẻ hành động vào từng phách.</t>
  </si>
  <si>
    <t>App, Rio, thẻ nhịp, loa.</t>
  </si>
  <si>
    <t>Video V1/V2.</t>
  </si>
  <si>
    <t>Hình học; mẫu lặp; biến đổi hướng.</t>
  </si>
  <si>
    <t>Quan sát hoa văn vuông/zigzag trên giấy.</t>
  </si>
  <si>
    <t>App, Rio, giấy lớn, bút sáp, kẹp bút.</t>
  </si>
  <si>
    <t>Ảnh poster + code.</t>
  </si>
  <si>
    <t>Tối ưu có tiêu chí; không phải đường ngắn nhất lúc nào cũng phù hợp.</t>
  </si>
  <si>
    <t>Trò tìm 3 đường trên mê cung giấy.</t>
  </si>
  <si>
    <t>App, Rio, mê cung/sa bàn.</t>
  </si>
  <si>
    <t>Ảnh bảng + video 2 đường.</t>
  </si>
  <si>
    <t>Đọc từ đầu; test từng đoạn; thay một điều mỗi lần.</t>
  </si>
  <si>
    <t>Nhìn 3 'triệu chứng' và đoán nhóm lỗi.</t>
  </si>
  <si>
    <t>App, Rio, checklist, sa bàn.</t>
  </si>
  <si>
    <t>Ảnh checklist + code trước/sau.</t>
  </si>
  <si>
    <t>Game loop đơn giản; thử người dùng; luật phải dễ hiểu.</t>
  </si>
  <si>
    <t>Chơi mẫu 'thu thẻ kho báu'.</t>
  </si>
  <si>
    <t>App, Rio, thẻ kho báu, vật liệu sa bàn.</t>
  </si>
  <si>
    <t>Video người dùng thử + ảnh luật.</t>
  </si>
  <si>
    <t>Story beats; tín hiệu âm thanh; timing.</t>
  </si>
  <si>
    <t>Nghe câu chuyện 3 đoạn và tìm điểm bắt đầu/kết thúc.</t>
  </si>
  <si>
    <t>App, Rio, props giấy, storyboard.</t>
  </si>
  <si>
    <t>Video kể chuyện + storyboard.</t>
  </si>
  <si>
    <t>Yêu cầu–ý tưởng–prototype–test; giới hạn vật liệu/thời gian.</t>
  </si>
  <si>
    <t>Bốc thăm người dùng: thư viện, bệnh viện đồ chơi, công viên, bưu điện.</t>
  </si>
  <si>
    <t>App, Rio, thẻ yêu cầu, vật liệu Maker.</t>
  </si>
  <si>
    <t>Ảnh prototype + feedback.</t>
  </si>
  <si>
    <t>Một cải tiến phải dựa trên quan sát/góp ý.</t>
  </si>
  <si>
    <t>Xem 2 ví dụ V1/V2 đơn giản và tìm thay đổi.</t>
  </si>
  <si>
    <t>App, Rio, phiếu V1/V2, rubric.</t>
  </si>
  <si>
    <t>Video V1/V2 + bảng test.</t>
  </si>
  <si>
    <t>Quy trình kỹ thuật: mục tiêu–lập kế hoạch–code–test–cải tiến–trình bày.</t>
  </si>
  <si>
    <t>Nhóm chọn chủ đề: giao hàng, giao thông, bảo tàng, công viên, cứu hộ giả tưởng.</t>
  </si>
  <si>
    <t>Video 60–90 giây + poster + ảnh nhóm.</t>
  </si>
  <si>
    <t>NGUỒN THAM KHẢO &amp; GHI CHÚ BIÊN TẬP</t>
  </si>
  <si>
    <t>Phạm vi</t>
  </si>
  <si>
    <t>Nguồn</t>
  </si>
  <si>
    <t>URL / tệp</t>
  </si>
  <si>
    <t>Ghi chú sử dụng</t>
  </si>
  <si>
    <t>Giáo trình STEM với Rio – Khóa 1</t>
  </si>
  <si>
    <t>[Updates Khóa 1] Giáo trình STEM robot Rio.docx</t>
  </si>
  <si>
    <t>Tổng hợp 12 bài nguồn. Ở Bài 10, phần Mục tiêu đầu trang có dấu hiệu copy nhầm từ bài sức khỏe; file này chuẩn hóa mục tiêu theo chính nội dung hoạt động về bề mặt/di chuyển.</t>
  </si>
  <si>
    <t>Folder tài liệu Khóa 2</t>
  </si>
  <si>
    <t>https://drive.google.com/drive/folders/1BzARTttHJFX-URZu_a3ETM_R_BwBfysf</t>
  </si>
  <si>
    <t>Folder có Bài 1–10 và Bài 12; không thấy file Bài 11. Bài 11 trong workbook được đánh dấu rõ là đề xuất bổ sung để nối sang App.</t>
  </si>
  <si>
    <t>K03–K05</t>
  </si>
  <si>
    <t>OhStem App – Rio Virtual</t>
  </si>
  <si>
    <t>https://app.ohstem.vn/#!/rio/virtual</t>
  </si>
  <si>
    <t>Dùng làm môi trường kéo thả/virtual trước khi chạy Rio thật.</t>
  </si>
  <si>
    <t>OhStem Wiki – Hướng dẫn sử dụng Rio</t>
  </si>
  <si>
    <t>https://wiki.ohstem.vn/robot_rio/su-dung-rio</t>
  </si>
  <si>
    <t>Căn cứ cho nút nhấn, vòng lặp, mode né vật cản và dò line.</t>
  </si>
  <si>
    <t>OhStem Wiki – Lập trình Rio</t>
  </si>
  <si>
    <t>https://wiki.ohstem.vn/robot_rio/lap-trinh-rio</t>
  </si>
  <si>
    <t>Căn cứ cho các block: tiến/lùi/quay, dừng, dò line, dò line đến vật cản, âm thanh/nhạc/nốt, chờ, lặp N và lặp mãi mãi.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</si>
</sst>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9">
    <font>
      <sz val="11.0"/>
      <color rgb="FF000000"/>
      <name val="Carlito"/>
      <scheme val="minor"/>
    </font>
    <font>
      <b/>
      <sz val="16.0"/>
      <color rgb="FFFFFFFF"/>
      <name val="Arial"/>
    </font>
    <font>
      <b/>
      <sz val="14.0"/>
      <color rgb="FFFFFFFF"/>
      <name val="Arial"/>
    </font>
    <font>
      <sz val="11.0"/>
      <color theme="1"/>
      <name val="Arial"/>
    </font>
    <font>
      <i/>
      <sz val="11.0"/>
      <color rgb="FF475569"/>
      <name val="Arial"/>
    </font>
    <font>
      <b/>
      <sz val="11.0"/>
      <color rgb="FF1F5FBF"/>
      <name val="Arial"/>
    </font>
    <font>
      <b/>
      <sz val="11.0"/>
      <color rgb="FFFFFFFF"/>
      <name val="Arial"/>
    </font>
    <font>
      <b/>
      <sz val="11.0"/>
      <color rgb="FF1F2937"/>
      <name val="Arial"/>
    </font>
    <font>
      <sz val="11.0"/>
      <color rgb="FF1F2937"/>
      <name val="Arial"/>
    </font>
  </fonts>
  <fills count="15">
    <fill>
      <patternFill patternType="none"/>
    </fill>
    <fill>
      <patternFill patternType="lightGray"/>
    </fill>
    <fill>
      <patternFill patternType="solid">
        <fgColor rgb="FF2F80ED"/>
        <bgColor rgb="FF2F80ED"/>
      </patternFill>
    </fill>
    <fill>
      <patternFill patternType="solid">
        <fgColor rgb="FFEAF4FF"/>
        <bgColor rgb="FFEAF4FF"/>
      </patternFill>
    </fill>
    <fill>
      <patternFill patternType="solid">
        <fgColor rgb="FFD7E3F4"/>
        <bgColor rgb="FFD7E3F4"/>
      </patternFill>
    </fill>
    <fill>
      <patternFill patternType="solid">
        <fgColor rgb="FFF7F9FC"/>
        <bgColor rgb="FFF7F9FC"/>
      </patternFill>
    </fill>
    <fill>
      <patternFill patternType="solid">
        <fgColor rgb="FF1F5FBF"/>
        <bgColor rgb="FF1F5FBF"/>
      </patternFill>
    </fill>
    <fill>
      <patternFill patternType="solid">
        <fgColor rgb="FFF4F8FC"/>
        <bgColor rgb="FFF4F8FC"/>
      </patternFill>
    </fill>
    <fill>
      <patternFill patternType="solid">
        <fgColor rgb="FFFDECEC"/>
        <bgColor rgb="FFFDECEC"/>
      </patternFill>
    </fill>
    <fill>
      <patternFill patternType="solid">
        <fgColor rgb="FFE8EEF7"/>
        <bgColor rgb="FFE8EEF7"/>
      </patternFill>
    </fill>
    <fill>
      <patternFill patternType="solid">
        <fgColor rgb="FFFFFFFF"/>
        <bgColor rgb="FFFFFFFF"/>
      </patternFill>
    </fill>
    <fill>
      <patternFill patternType="solid">
        <fgColor rgb="FFFFFDF3"/>
        <bgColor rgb="FFFFFDF3"/>
      </patternFill>
    </fill>
    <fill>
      <patternFill patternType="solid">
        <fgColor rgb="FFFFF6D8"/>
        <bgColor rgb="FFFFF6D8"/>
      </patternFill>
    </fill>
    <fill>
      <patternFill patternType="solid">
        <fgColor rgb="FFE4F4E7"/>
        <bgColor rgb="FFE4F4E7"/>
      </patternFill>
    </fill>
    <fill>
      <patternFill patternType="solid">
        <fgColor rgb="FFF1EDFF"/>
        <bgColor rgb="FFF1EDFF"/>
      </patternFill>
    </fill>
  </fills>
  <borders count="1">
    <border/>
  </borders>
  <cellStyleXfs count="1">
    <xf borderId="0" fillId="0" fontId="0" numFmtId="0" applyAlignment="1" applyFont="1"/>
  </cellStyleXfs>
  <cellXfs count="27">
    <xf borderId="0" fillId="0" fontId="0" numFmtId="0" xfId="0" applyAlignment="1" applyFont="1">
      <alignment readingOrder="0" shrinkToFit="0" vertical="bottom" wrapText="0"/>
    </xf>
    <xf borderId="0" fillId="2" fontId="1" numFmtId="0" xfId="0" applyAlignment="1" applyFill="1" applyFont="1">
      <alignment horizontal="center" vertical="center"/>
    </xf>
    <xf borderId="0" fillId="2" fontId="2" numFmtId="0" xfId="0" applyAlignment="1" applyFill="1" applyFont="1">
      <alignment horizontal="center"/>
    </xf>
    <xf borderId="0" fillId="0" fontId="3" numFmtId="0" xfId="0" applyFont="1"/>
    <xf borderId="0" fillId="2" fontId="2" numFmtId="0" xfId="0" applyAlignment="1" applyFill="1" applyFont="1">
      <alignment horizontal="center" vertical="center"/>
    </xf>
    <xf borderId="0" fillId="3" fontId="4" numFmtId="0" xfId="0" applyFill="1" applyFont="1"/>
    <xf borderId="0" fillId="3" fontId="4" numFmtId="0" xfId="0" applyAlignment="1" applyFill="1" applyFont="1">
      <alignment shrinkToFit="0" vertical="center" wrapText="1"/>
    </xf>
    <xf borderId="0" fillId="4" fontId="5" numFmtId="0" xfId="0" applyAlignment="1" applyFill="1" applyFont="1">
      <alignment vertical="top"/>
    </xf>
    <xf borderId="0" fillId="5" fontId="3" numFmtId="0" xfId="0" applyAlignment="1" applyFill="1" applyFont="1">
      <alignment shrinkToFit="0" vertical="top" wrapText="1"/>
    </xf>
    <xf borderId="0" fillId="6" fontId="6" numFmtId="0" xfId="0" applyAlignment="1" applyFill="1" applyFont="1">
      <alignment horizontal="center" shrinkToFit="0" wrapText="1"/>
    </xf>
    <xf borderId="0" fillId="7" fontId="5" numFmtId="0" xfId="0" applyAlignment="1" applyFill="1" applyFont="1">
      <alignment shrinkToFit="0" wrapText="1"/>
    </xf>
    <xf borderId="0" fillId="7" fontId="3" numFmtId="0" xfId="0" applyAlignment="1" applyFill="1" applyFont="1">
      <alignment shrinkToFit="0" wrapText="1"/>
    </xf>
    <xf borderId="0" fillId="0" fontId="3" numFmtId="0" xfId="0" applyAlignment="1" applyFont="1">
      <alignment shrinkToFit="0" vertical="top" wrapText="1"/>
    </xf>
    <xf borderId="0" fillId="8" fontId="3" numFmtId="0" xfId="0" applyAlignment="1" applyFill="1" applyFont="1">
      <alignment shrinkToFit="0" vertical="top" wrapText="1"/>
    </xf>
    <xf borderId="0" fillId="9" fontId="7" numFmtId="0" xfId="0" applyAlignment="1" applyFill="1" applyFont="1">
      <alignment horizontal="center" shrinkToFit="0" vertical="center" wrapText="1"/>
    </xf>
    <xf borderId="0" fillId="2" fontId="6" numFmtId="0" xfId="0" applyAlignment="1" applyFill="1" applyFont="1">
      <alignment horizontal="center" shrinkToFit="0" vertical="center" wrapText="1"/>
    </xf>
    <xf borderId="0" fillId="7" fontId="3" numFmtId="0" xfId="0" applyAlignment="1" applyFill="1" applyFont="1">
      <alignment shrinkToFit="0" vertical="top" wrapText="1"/>
    </xf>
    <xf borderId="0" fillId="10" fontId="3" numFmtId="0" xfId="0" applyAlignment="1" applyFill="1" applyFont="1">
      <alignment shrinkToFit="0" vertical="top" wrapText="1"/>
    </xf>
    <xf borderId="0" fillId="6" fontId="6" numFmtId="0" xfId="0" applyAlignment="1" applyFill="1" applyFont="1">
      <alignment horizontal="center" shrinkToFit="0" vertical="center" wrapText="1"/>
    </xf>
    <xf borderId="0" fillId="2" fontId="6" numFmtId="0" xfId="0" applyAlignment="1" applyFill="1" applyFont="1">
      <alignment horizontal="left"/>
    </xf>
    <xf borderId="0" fillId="11" fontId="8" numFmtId="0" xfId="0" applyAlignment="1" applyFill="1" applyFont="1">
      <alignment shrinkToFit="0" vertical="top" wrapText="1"/>
    </xf>
    <xf borderId="0" fillId="12" fontId="3" numFmtId="0" xfId="0" applyAlignment="1" applyFill="1" applyFont="1">
      <alignment shrinkToFit="0" vertical="top" wrapText="1"/>
    </xf>
    <xf borderId="0" fillId="9" fontId="7" numFmtId="0" xfId="0" applyAlignment="1" applyFill="1" applyFont="1">
      <alignment horizontal="center" shrinkToFit="0" wrapText="1"/>
    </xf>
    <xf borderId="0" fillId="0" fontId="3" numFmtId="0" xfId="0" applyAlignment="1" applyFont="1">
      <alignment shrinkToFit="0" wrapText="1"/>
    </xf>
    <xf borderId="0" fillId="13" fontId="3" numFmtId="0" xfId="0" applyAlignment="1" applyFill="1" applyFont="1">
      <alignment shrinkToFit="0" vertical="top" wrapText="1"/>
    </xf>
    <xf borderId="0" fillId="5" fontId="3" numFmtId="0" xfId="0" applyAlignment="1" applyFill="1" applyFont="1">
      <alignment readingOrder="0" shrinkToFit="0" vertical="top" wrapText="1"/>
    </xf>
    <xf borderId="0" fillId="14" fontId="3" numFmtId="0" xfId="0" applyAlignment="1" applyFill="1" applyFont="1">
      <alignment shrinkToFit="0" vertical="top" wrapText="1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8.xml"/><Relationship Id="rId10" Type="http://schemas.openxmlformats.org/officeDocument/2006/relationships/worksheet" Target="worksheets/sheet7.xml"/><Relationship Id="rId13" Type="http://customschemas.google.com/relationships/workbookmetadata" Target="metadata"/><Relationship Id="rId12" Type="http://schemas.openxmlformats.org/officeDocument/2006/relationships/worksheet" Target="worksheets/sheet9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467886"/>
      </a:folHlink>
    </a:clrScheme>
    <a:fontScheme name="Sheets">
      <a:majorFont>
        <a:latin typeface="Carlito"/>
        <a:ea typeface="Carlito"/>
        <a:cs typeface="Carlito"/>
      </a:majorFont>
      <a:minorFont>
        <a:latin typeface="Carlito"/>
        <a:ea typeface="Carlito"/>
        <a:cs typeface="Carlito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2.0"/>
    <col customWidth="1" min="2" max="2" width="26.0"/>
    <col customWidth="1" min="3" max="3" width="12.0"/>
    <col customWidth="1" min="4" max="4" width="28.0"/>
    <col customWidth="1" min="5" max="5" width="42.0"/>
    <col customWidth="1" min="6" max="6" width="35.0"/>
    <col customWidth="1" min="7" max="7" width="38.0"/>
    <col customWidth="1" min="8" max="8" width="44.0"/>
    <col customWidth="1" min="9" max="26" width="8.63"/>
  </cols>
  <sheetData>
    <row r="1" ht="33.75" customHeight="1">
      <c r="A1" s="1" t="s">
        <v>0</v>
      </c>
      <c r="I1" s="3"/>
      <c r="J1" s="3"/>
      <c r="K1" s="3"/>
      <c r="L1" s="3"/>
      <c r="M1" s="3"/>
    </row>
    <row r="2" ht="42.0" customHeight="1">
      <c r="A2" s="6" t="s">
        <v>5</v>
      </c>
      <c r="I2" s="3"/>
      <c r="J2" s="3"/>
      <c r="K2" s="3"/>
      <c r="L2" s="3"/>
      <c r="M2" s="3"/>
    </row>
    <row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>
      <c r="A4" s="10" t="s">
        <v>10</v>
      </c>
      <c r="B4" s="11">
        <v>5.0</v>
      </c>
      <c r="C4" s="10" t="s">
        <v>27</v>
      </c>
      <c r="D4" s="11">
        <v>12.0</v>
      </c>
      <c r="E4" s="10" t="s">
        <v>31</v>
      </c>
      <c r="F4" s="11">
        <f>B4*D4</f>
        <v>60</v>
      </c>
      <c r="G4" s="10" t="s">
        <v>57</v>
      </c>
      <c r="H4" s="11">
        <f>F4/2</f>
        <v>30</v>
      </c>
      <c r="I4" s="3"/>
      <c r="J4" s="3"/>
      <c r="K4" s="3"/>
      <c r="L4" s="3"/>
      <c r="M4" s="3"/>
    </row>
    <row r="5">
      <c r="A5" s="10" t="s">
        <v>79</v>
      </c>
      <c r="B5" s="11">
        <v>90.0</v>
      </c>
      <c r="C5" s="10" t="s">
        <v>83</v>
      </c>
      <c r="D5" s="11">
        <f>F4*B5/60</f>
        <v>90</v>
      </c>
      <c r="E5" s="10" t="s">
        <v>96</v>
      </c>
      <c r="F5" s="11">
        <f>H4/4</f>
        <v>7.5</v>
      </c>
      <c r="G5" s="10" t="s">
        <v>111</v>
      </c>
      <c r="H5" s="11" t="s">
        <v>113</v>
      </c>
      <c r="I5" s="3"/>
      <c r="J5" s="3"/>
      <c r="K5" s="3"/>
      <c r="L5" s="3"/>
      <c r="M5" s="3"/>
    </row>
    <row r="6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</row>
    <row r="7">
      <c r="A7" s="18" t="s">
        <v>12</v>
      </c>
      <c r="B7" s="18" t="s">
        <v>125</v>
      </c>
      <c r="C7" s="18" t="s">
        <v>127</v>
      </c>
      <c r="D7" s="18" t="s">
        <v>11</v>
      </c>
      <c r="E7" s="18" t="s">
        <v>128</v>
      </c>
      <c r="F7" s="18" t="s">
        <v>130</v>
      </c>
      <c r="G7" s="18" t="s">
        <v>14</v>
      </c>
      <c r="H7" s="18" t="s">
        <v>26</v>
      </c>
      <c r="I7" s="3"/>
      <c r="J7" s="3"/>
      <c r="K7" s="3"/>
      <c r="L7" s="3"/>
      <c r="M7" s="3"/>
    </row>
    <row r="8" ht="75.75" customHeight="1">
      <c r="A8" s="12" t="s">
        <v>33</v>
      </c>
      <c r="B8" s="12" t="s">
        <v>140</v>
      </c>
      <c r="C8" s="12" t="s">
        <v>36</v>
      </c>
      <c r="D8" s="12" t="s">
        <v>34</v>
      </c>
      <c r="E8" s="12" t="s">
        <v>8</v>
      </c>
      <c r="F8" s="12" t="s">
        <v>143</v>
      </c>
      <c r="G8" s="12" t="s">
        <v>17</v>
      </c>
      <c r="H8" s="12" t="s">
        <v>32</v>
      </c>
      <c r="I8" s="3"/>
      <c r="J8" s="3"/>
      <c r="K8" s="3"/>
      <c r="L8" s="3"/>
      <c r="M8" s="3"/>
    </row>
    <row r="9" ht="75.75" customHeight="1">
      <c r="A9" s="12" t="s">
        <v>48</v>
      </c>
      <c r="B9" s="12" t="s">
        <v>140</v>
      </c>
      <c r="C9" s="12" t="s">
        <v>36</v>
      </c>
      <c r="D9" s="12" t="s">
        <v>50</v>
      </c>
      <c r="E9" s="12" t="s">
        <v>155</v>
      </c>
      <c r="F9" s="12" t="s">
        <v>158</v>
      </c>
      <c r="G9" s="12" t="s">
        <v>160</v>
      </c>
      <c r="H9" s="12" t="s">
        <v>163</v>
      </c>
      <c r="I9" s="3"/>
      <c r="J9" s="3"/>
      <c r="K9" s="3"/>
      <c r="L9" s="3"/>
      <c r="M9" s="3"/>
    </row>
    <row r="10" ht="75.75" customHeight="1">
      <c r="A10" s="12" t="s">
        <v>65</v>
      </c>
      <c r="B10" s="12" t="s">
        <v>167</v>
      </c>
      <c r="C10" s="12" t="s">
        <v>168</v>
      </c>
      <c r="D10" s="12" t="s">
        <v>68</v>
      </c>
      <c r="E10" s="12" t="s">
        <v>173</v>
      </c>
      <c r="F10" s="12" t="s">
        <v>177</v>
      </c>
      <c r="G10" s="12" t="s">
        <v>179</v>
      </c>
      <c r="H10" s="12" t="s">
        <v>182</v>
      </c>
      <c r="I10" s="3"/>
      <c r="J10" s="3"/>
      <c r="K10" s="3"/>
      <c r="L10" s="3"/>
      <c r="M10" s="3"/>
    </row>
    <row r="11" ht="75.75" customHeight="1">
      <c r="A11" s="12" t="s">
        <v>89</v>
      </c>
      <c r="B11" s="12" t="s">
        <v>184</v>
      </c>
      <c r="C11" s="12" t="s">
        <v>186</v>
      </c>
      <c r="D11" s="12" t="s">
        <v>91</v>
      </c>
      <c r="E11" s="12" t="s">
        <v>189</v>
      </c>
      <c r="F11" s="12" t="s">
        <v>191</v>
      </c>
      <c r="G11" s="12" t="s">
        <v>194</v>
      </c>
      <c r="H11" s="12" t="s">
        <v>198</v>
      </c>
      <c r="I11" s="3"/>
      <c r="J11" s="3"/>
      <c r="K11" s="3"/>
      <c r="L11" s="3"/>
      <c r="M11" s="3"/>
    </row>
    <row r="12" ht="75.75" customHeight="1">
      <c r="A12" s="12" t="s">
        <v>107</v>
      </c>
      <c r="B12" s="12" t="s">
        <v>201</v>
      </c>
      <c r="C12" s="12" t="s">
        <v>203</v>
      </c>
      <c r="D12" s="12" t="s">
        <v>109</v>
      </c>
      <c r="E12" s="12" t="s">
        <v>207</v>
      </c>
      <c r="F12" s="12" t="s">
        <v>209</v>
      </c>
      <c r="G12" s="12" t="s">
        <v>211</v>
      </c>
      <c r="H12" s="12" t="s">
        <v>214</v>
      </c>
      <c r="I12" s="3"/>
      <c r="J12" s="3"/>
      <c r="K12" s="3"/>
      <c r="L12" s="3"/>
      <c r="M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>
      <c r="A14" s="19" t="s">
        <v>220</v>
      </c>
      <c r="I14" s="3"/>
      <c r="J14" s="3"/>
      <c r="K14" s="3"/>
      <c r="L14" s="3"/>
      <c r="M14" s="3"/>
    </row>
    <row r="15">
      <c r="A15" s="20" t="s">
        <v>228</v>
      </c>
      <c r="I15" s="3"/>
      <c r="J15" s="3"/>
      <c r="K15" s="3"/>
      <c r="L15" s="3"/>
      <c r="M15" s="3"/>
    </row>
    <row r="16">
      <c r="I16" s="3"/>
      <c r="J16" s="3"/>
      <c r="K16" s="3"/>
      <c r="L16" s="3"/>
      <c r="M16" s="3"/>
    </row>
    <row r="17">
      <c r="I17" s="3"/>
      <c r="J17" s="3"/>
      <c r="K17" s="3"/>
      <c r="L17" s="3"/>
      <c r="M17" s="3"/>
    </row>
    <row r="18">
      <c r="I18" s="3"/>
      <c r="J18" s="3"/>
      <c r="K18" s="3"/>
      <c r="L18" s="3"/>
      <c r="M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>
      <c r="A20" s="22" t="s">
        <v>247</v>
      </c>
      <c r="B20" s="22" t="s">
        <v>33</v>
      </c>
      <c r="C20" s="22" t="s">
        <v>48</v>
      </c>
      <c r="D20" s="22" t="s">
        <v>65</v>
      </c>
      <c r="E20" s="22" t="s">
        <v>89</v>
      </c>
      <c r="F20" s="22" t="s">
        <v>107</v>
      </c>
      <c r="G20" s="22" t="s">
        <v>258</v>
      </c>
      <c r="H20" s="22" t="s">
        <v>259</v>
      </c>
      <c r="I20" s="3"/>
      <c r="J20" s="3"/>
      <c r="K20" s="3"/>
      <c r="L20" s="3"/>
      <c r="M20" s="3"/>
    </row>
    <row r="21" ht="39.75" customHeight="1">
      <c r="A21" s="23" t="s">
        <v>270</v>
      </c>
      <c r="B21" s="23" t="s">
        <v>272</v>
      </c>
      <c r="C21" s="23" t="s">
        <v>274</v>
      </c>
      <c r="D21" s="23" t="s">
        <v>277</v>
      </c>
      <c r="E21" s="23" t="s">
        <v>278</v>
      </c>
      <c r="F21" s="23" t="s">
        <v>281</v>
      </c>
      <c r="G21" s="23" t="s">
        <v>283</v>
      </c>
      <c r="H21" s="23" t="s">
        <v>285</v>
      </c>
      <c r="I21" s="3"/>
      <c r="J21" s="3"/>
      <c r="K21" s="3"/>
      <c r="L21" s="3"/>
      <c r="M21" s="3"/>
    </row>
    <row r="22" ht="39.75" customHeight="1">
      <c r="A22" s="23" t="s">
        <v>289</v>
      </c>
      <c r="B22" s="23" t="s">
        <v>290</v>
      </c>
      <c r="C22" s="23" t="s">
        <v>292</v>
      </c>
      <c r="D22" s="23" t="s">
        <v>295</v>
      </c>
      <c r="E22" s="23" t="s">
        <v>297</v>
      </c>
      <c r="F22" s="23" t="s">
        <v>300</v>
      </c>
      <c r="G22" s="23" t="s">
        <v>303</v>
      </c>
      <c r="H22" s="23" t="s">
        <v>305</v>
      </c>
      <c r="I22" s="3"/>
      <c r="J22" s="3"/>
      <c r="K22" s="3"/>
      <c r="L22" s="3"/>
      <c r="M22" s="3"/>
    </row>
    <row r="23" ht="39.75" customHeight="1">
      <c r="A23" s="23" t="s">
        <v>306</v>
      </c>
      <c r="B23" s="23" t="s">
        <v>308</v>
      </c>
      <c r="C23" s="23" t="s">
        <v>310</v>
      </c>
      <c r="D23" s="23" t="s">
        <v>312</v>
      </c>
      <c r="E23" s="23" t="s">
        <v>314</v>
      </c>
      <c r="F23" s="23" t="s">
        <v>316</v>
      </c>
      <c r="G23" s="23" t="s">
        <v>319</v>
      </c>
      <c r="H23" s="23" t="s">
        <v>321</v>
      </c>
      <c r="I23" s="3"/>
      <c r="J23" s="3"/>
      <c r="K23" s="3"/>
      <c r="L23" s="3"/>
      <c r="M23" s="3"/>
    </row>
    <row r="24" ht="39.75" customHeight="1">
      <c r="A24" s="23" t="s">
        <v>28</v>
      </c>
      <c r="B24" s="23" t="s">
        <v>324</v>
      </c>
      <c r="C24" s="23" t="s">
        <v>327</v>
      </c>
      <c r="D24" s="23" t="s">
        <v>329</v>
      </c>
      <c r="E24" s="23" t="s">
        <v>297</v>
      </c>
      <c r="F24" s="23" t="s">
        <v>333</v>
      </c>
      <c r="G24" s="23" t="s">
        <v>335</v>
      </c>
      <c r="H24" s="23" t="s">
        <v>337</v>
      </c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4">
    <mergeCell ref="A1:H1"/>
    <mergeCell ref="A2:H2"/>
    <mergeCell ref="A14:H14"/>
    <mergeCell ref="A15:H18"/>
  </mergeCell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0.0"/>
    <col customWidth="1" min="2" max="2" width="30.0"/>
    <col customWidth="1" min="3" max="3" width="48.0"/>
    <col customWidth="1" min="4" max="4" width="44.0"/>
    <col customWidth="1" min="5" max="5" width="46.0"/>
    <col customWidth="1" min="6" max="6" width="50.0"/>
    <col customWidth="1" min="7" max="26" width="8.63"/>
  </cols>
  <sheetData>
    <row r="1">
      <c r="A1" s="2" t="s">
        <v>2</v>
      </c>
      <c r="G1" s="3"/>
      <c r="H1" s="3"/>
      <c r="I1" s="3"/>
      <c r="J1" s="3"/>
      <c r="K1" s="3"/>
      <c r="L1" s="3"/>
      <c r="M1" s="3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>
      <c r="A3" s="9" t="s">
        <v>12</v>
      </c>
      <c r="B3" s="9" t="s">
        <v>11</v>
      </c>
      <c r="C3" s="9" t="s">
        <v>19</v>
      </c>
      <c r="D3" s="9" t="s">
        <v>21</v>
      </c>
      <c r="E3" s="9" t="s">
        <v>23</v>
      </c>
      <c r="F3" s="9" t="s">
        <v>25</v>
      </c>
      <c r="G3" s="3"/>
      <c r="H3" s="3"/>
      <c r="I3" s="3"/>
      <c r="J3" s="3"/>
      <c r="K3" s="3"/>
      <c r="L3" s="3"/>
      <c r="M3" s="3"/>
    </row>
    <row r="4" ht="84.75" customHeight="1">
      <c r="A4" s="12" t="s">
        <v>33</v>
      </c>
      <c r="B4" s="12" t="s">
        <v>34</v>
      </c>
      <c r="C4" s="12" t="s">
        <v>35</v>
      </c>
      <c r="D4" s="12" t="s">
        <v>39</v>
      </c>
      <c r="E4" s="12" t="s">
        <v>41</v>
      </c>
      <c r="F4" s="12" t="s">
        <v>42</v>
      </c>
      <c r="G4" s="3"/>
      <c r="H4" s="3"/>
      <c r="I4" s="3"/>
      <c r="J4" s="3"/>
      <c r="K4" s="3"/>
      <c r="L4" s="3"/>
      <c r="M4" s="3"/>
    </row>
    <row r="5" ht="84.75" customHeight="1">
      <c r="A5" s="12" t="s">
        <v>48</v>
      </c>
      <c r="B5" s="12" t="s">
        <v>50</v>
      </c>
      <c r="C5" s="12" t="s">
        <v>52</v>
      </c>
      <c r="D5" s="12" t="s">
        <v>39</v>
      </c>
      <c r="E5" s="12" t="s">
        <v>41</v>
      </c>
      <c r="F5" s="12" t="s">
        <v>59</v>
      </c>
      <c r="G5" s="3"/>
      <c r="H5" s="3"/>
      <c r="I5" s="3"/>
      <c r="J5" s="3"/>
      <c r="K5" s="3"/>
      <c r="L5" s="3"/>
      <c r="M5" s="3"/>
    </row>
    <row r="6" ht="84.75" customHeight="1">
      <c r="A6" s="12" t="s">
        <v>65</v>
      </c>
      <c r="B6" s="12" t="s">
        <v>68</v>
      </c>
      <c r="C6" s="12" t="s">
        <v>73</v>
      </c>
      <c r="D6" s="12" t="s">
        <v>77</v>
      </c>
      <c r="E6" s="12" t="s">
        <v>82</v>
      </c>
      <c r="F6" s="12" t="s">
        <v>84</v>
      </c>
      <c r="G6" s="3"/>
      <c r="H6" s="3"/>
      <c r="I6" s="3"/>
      <c r="J6" s="3"/>
      <c r="K6" s="3"/>
      <c r="L6" s="3"/>
      <c r="M6" s="3"/>
    </row>
    <row r="7" ht="84.75" customHeight="1">
      <c r="A7" s="12" t="s">
        <v>89</v>
      </c>
      <c r="B7" s="12" t="s">
        <v>91</v>
      </c>
      <c r="C7" s="12" t="s">
        <v>93</v>
      </c>
      <c r="D7" s="12" t="s">
        <v>77</v>
      </c>
      <c r="E7" s="12" t="s">
        <v>82</v>
      </c>
      <c r="F7" s="12" t="s">
        <v>98</v>
      </c>
      <c r="G7" s="3"/>
      <c r="H7" s="3"/>
      <c r="I7" s="3"/>
      <c r="J7" s="3"/>
      <c r="K7" s="3"/>
      <c r="L7" s="3"/>
      <c r="M7" s="3"/>
    </row>
    <row r="8" ht="84.75" customHeight="1">
      <c r="A8" s="12" t="s">
        <v>107</v>
      </c>
      <c r="B8" s="12" t="s">
        <v>109</v>
      </c>
      <c r="C8" s="12" t="s">
        <v>112</v>
      </c>
      <c r="D8" s="12" t="s">
        <v>77</v>
      </c>
      <c r="E8" s="12" t="s">
        <v>82</v>
      </c>
      <c r="F8" s="12" t="s">
        <v>114</v>
      </c>
      <c r="G8" s="3"/>
      <c r="H8" s="3"/>
      <c r="I8" s="3"/>
      <c r="J8" s="3"/>
      <c r="K8" s="3"/>
      <c r="L8" s="3"/>
      <c r="M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F1"/>
  </mergeCell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8.0"/>
    <col customWidth="1" min="2" max="2" width="28.0"/>
    <col customWidth="1" min="3" max="3" width="11.0"/>
    <col customWidth="1" min="4" max="4" width="7.0"/>
    <col customWidth="1" min="5" max="5" width="15.0"/>
    <col customWidth="1" min="6" max="6" width="28.0"/>
    <col customWidth="1" min="7" max="7" width="40.0"/>
    <col customWidth="1" min="8" max="8" width="46.0"/>
    <col customWidth="1" min="9" max="9" width="38.0"/>
    <col customWidth="1" min="10" max="10" width="34.0"/>
    <col customWidth="1" min="11" max="11" width="38.0"/>
    <col customWidth="1" min="12" max="12" width="42.0"/>
    <col customWidth="1" min="13" max="26" width="8.63"/>
  </cols>
  <sheetData>
    <row r="1">
      <c r="A1" s="2" t="s">
        <v>1</v>
      </c>
      <c r="M1" s="3"/>
    </row>
    <row r="2">
      <c r="A2" s="5" t="s">
        <v>4</v>
      </c>
      <c r="M2" s="3"/>
    </row>
    <row r="3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>
      <c r="A4" s="9" t="s">
        <v>9</v>
      </c>
      <c r="B4" s="9" t="s">
        <v>11</v>
      </c>
      <c r="C4" s="9" t="s">
        <v>13</v>
      </c>
      <c r="D4" s="9" t="s">
        <v>15</v>
      </c>
      <c r="E4" s="9" t="s">
        <v>16</v>
      </c>
      <c r="F4" s="9" t="s">
        <v>18</v>
      </c>
      <c r="G4" s="9" t="s">
        <v>20</v>
      </c>
      <c r="H4" s="9" t="s">
        <v>22</v>
      </c>
      <c r="I4" s="9" t="s">
        <v>24</v>
      </c>
      <c r="J4" s="9" t="s">
        <v>28</v>
      </c>
      <c r="K4" s="9" t="s">
        <v>29</v>
      </c>
      <c r="L4" s="9" t="s">
        <v>30</v>
      </c>
      <c r="M4" s="3"/>
    </row>
    <row r="5" ht="57.75" customHeight="1">
      <c r="A5" s="12" t="s">
        <v>33</v>
      </c>
      <c r="B5" s="12" t="s">
        <v>34</v>
      </c>
      <c r="C5" s="12" t="s">
        <v>36</v>
      </c>
      <c r="D5" s="12">
        <v>1.0</v>
      </c>
      <c r="E5" s="12" t="s">
        <v>37</v>
      </c>
      <c r="F5" s="12" t="s">
        <v>38</v>
      </c>
      <c r="G5" s="12" t="s">
        <v>40</v>
      </c>
      <c r="H5" s="12" t="s">
        <v>43</v>
      </c>
      <c r="I5" s="12" t="s">
        <v>44</v>
      </c>
      <c r="J5" s="12" t="s">
        <v>45</v>
      </c>
      <c r="K5" s="12" t="s">
        <v>46</v>
      </c>
      <c r="L5" s="12" t="s">
        <v>47</v>
      </c>
      <c r="M5" s="3"/>
    </row>
    <row r="6" ht="57.75" customHeight="1">
      <c r="A6" s="12" t="s">
        <v>33</v>
      </c>
      <c r="B6" s="12" t="s">
        <v>34</v>
      </c>
      <c r="C6" s="12" t="s">
        <v>36</v>
      </c>
      <c r="D6" s="12">
        <v>2.0</v>
      </c>
      <c r="E6" s="12" t="s">
        <v>37</v>
      </c>
      <c r="F6" s="12" t="s">
        <v>49</v>
      </c>
      <c r="G6" s="12" t="s">
        <v>51</v>
      </c>
      <c r="H6" s="12" t="s">
        <v>53</v>
      </c>
      <c r="I6" s="12" t="s">
        <v>54</v>
      </c>
      <c r="J6" s="12" t="s">
        <v>55</v>
      </c>
      <c r="K6" s="12" t="s">
        <v>56</v>
      </c>
      <c r="L6" s="12" t="s">
        <v>58</v>
      </c>
      <c r="M6" s="3"/>
    </row>
    <row r="7" ht="57.75" customHeight="1">
      <c r="A7" s="12" t="s">
        <v>33</v>
      </c>
      <c r="B7" s="12" t="s">
        <v>34</v>
      </c>
      <c r="C7" s="12" t="s">
        <v>36</v>
      </c>
      <c r="D7" s="12">
        <v>3.0</v>
      </c>
      <c r="E7" s="12" t="s">
        <v>37</v>
      </c>
      <c r="F7" s="12" t="s">
        <v>62</v>
      </c>
      <c r="G7" s="12" t="s">
        <v>64</v>
      </c>
      <c r="H7" s="12" t="s">
        <v>67</v>
      </c>
      <c r="I7" s="12" t="s">
        <v>70</v>
      </c>
      <c r="J7" s="12" t="s">
        <v>72</v>
      </c>
      <c r="K7" s="12" t="s">
        <v>76</v>
      </c>
      <c r="L7" s="12" t="s">
        <v>80</v>
      </c>
      <c r="M7" s="3"/>
    </row>
    <row r="8" ht="57.75" customHeight="1">
      <c r="A8" s="12" t="s">
        <v>33</v>
      </c>
      <c r="B8" s="12" t="s">
        <v>34</v>
      </c>
      <c r="C8" s="12" t="s">
        <v>36</v>
      </c>
      <c r="D8" s="12">
        <v>4.0</v>
      </c>
      <c r="E8" s="12" t="s">
        <v>37</v>
      </c>
      <c r="F8" s="12" t="s">
        <v>85</v>
      </c>
      <c r="G8" s="12" t="s">
        <v>86</v>
      </c>
      <c r="H8" s="12" t="s">
        <v>87</v>
      </c>
      <c r="I8" s="12" t="s">
        <v>88</v>
      </c>
      <c r="J8" s="12" t="s">
        <v>90</v>
      </c>
      <c r="K8" s="12" t="s">
        <v>92</v>
      </c>
      <c r="L8" s="12" t="s">
        <v>94</v>
      </c>
      <c r="M8" s="3"/>
    </row>
    <row r="9" ht="57.75" customHeight="1">
      <c r="A9" s="12" t="s">
        <v>33</v>
      </c>
      <c r="B9" s="12" t="s">
        <v>34</v>
      </c>
      <c r="C9" s="12" t="s">
        <v>36</v>
      </c>
      <c r="D9" s="12">
        <v>5.0</v>
      </c>
      <c r="E9" s="12" t="s">
        <v>99</v>
      </c>
      <c r="F9" s="12" t="s">
        <v>100</v>
      </c>
      <c r="G9" s="12" t="s">
        <v>102</v>
      </c>
      <c r="H9" s="12" t="s">
        <v>103</v>
      </c>
      <c r="I9" s="12" t="s">
        <v>104</v>
      </c>
      <c r="J9" s="12" t="s">
        <v>106</v>
      </c>
      <c r="K9" s="12" t="s">
        <v>108</v>
      </c>
      <c r="L9" s="12" t="s">
        <v>110</v>
      </c>
      <c r="M9" s="3"/>
    </row>
    <row r="10" ht="57.75" customHeight="1">
      <c r="A10" s="12" t="s">
        <v>33</v>
      </c>
      <c r="B10" s="12" t="s">
        <v>34</v>
      </c>
      <c r="C10" s="12" t="s">
        <v>36</v>
      </c>
      <c r="D10" s="12">
        <v>6.0</v>
      </c>
      <c r="E10" s="12" t="s">
        <v>37</v>
      </c>
      <c r="F10" s="12" t="s">
        <v>115</v>
      </c>
      <c r="G10" s="12" t="s">
        <v>117</v>
      </c>
      <c r="H10" s="12" t="s">
        <v>119</v>
      </c>
      <c r="I10" s="12" t="s">
        <v>120</v>
      </c>
      <c r="J10" s="12" t="s">
        <v>121</v>
      </c>
      <c r="K10" s="12" t="s">
        <v>123</v>
      </c>
      <c r="L10" s="12" t="s">
        <v>124</v>
      </c>
      <c r="M10" s="3"/>
    </row>
    <row r="11" ht="57.75" customHeight="1">
      <c r="A11" s="12" t="s">
        <v>33</v>
      </c>
      <c r="B11" s="12" t="s">
        <v>34</v>
      </c>
      <c r="C11" s="12" t="s">
        <v>36</v>
      </c>
      <c r="D11" s="12">
        <v>7.0</v>
      </c>
      <c r="E11" s="12" t="s">
        <v>129</v>
      </c>
      <c r="F11" s="12" t="s">
        <v>131</v>
      </c>
      <c r="G11" s="12" t="s">
        <v>132</v>
      </c>
      <c r="H11" s="12" t="s">
        <v>133</v>
      </c>
      <c r="I11" s="12" t="s">
        <v>134</v>
      </c>
      <c r="J11" s="12" t="s">
        <v>136</v>
      </c>
      <c r="K11" s="12" t="s">
        <v>138</v>
      </c>
      <c r="L11" s="12" t="s">
        <v>139</v>
      </c>
      <c r="M11" s="3"/>
    </row>
    <row r="12" ht="57.75" customHeight="1">
      <c r="A12" s="12" t="s">
        <v>33</v>
      </c>
      <c r="B12" s="12" t="s">
        <v>34</v>
      </c>
      <c r="C12" s="12" t="s">
        <v>36</v>
      </c>
      <c r="D12" s="12">
        <v>8.0</v>
      </c>
      <c r="E12" s="12" t="s">
        <v>99</v>
      </c>
      <c r="F12" s="12" t="s">
        <v>144</v>
      </c>
      <c r="G12" s="12" t="s">
        <v>145</v>
      </c>
      <c r="H12" s="12" t="s">
        <v>146</v>
      </c>
      <c r="I12" s="12" t="s">
        <v>147</v>
      </c>
      <c r="J12" s="12" t="s">
        <v>148</v>
      </c>
      <c r="K12" s="12" t="s">
        <v>149</v>
      </c>
      <c r="L12" s="12" t="s">
        <v>150</v>
      </c>
      <c r="M12" s="3"/>
    </row>
    <row r="13" ht="57.75" customHeight="1">
      <c r="A13" s="12" t="s">
        <v>33</v>
      </c>
      <c r="B13" s="12" t="s">
        <v>34</v>
      </c>
      <c r="C13" s="12" t="s">
        <v>36</v>
      </c>
      <c r="D13" s="12">
        <v>9.0</v>
      </c>
      <c r="E13" s="12" t="s">
        <v>153</v>
      </c>
      <c r="F13" s="12" t="s">
        <v>154</v>
      </c>
      <c r="G13" s="12" t="s">
        <v>156</v>
      </c>
      <c r="H13" s="12" t="s">
        <v>159</v>
      </c>
      <c r="I13" s="12" t="s">
        <v>161</v>
      </c>
      <c r="J13" s="12" t="s">
        <v>162</v>
      </c>
      <c r="K13" s="12" t="s">
        <v>164</v>
      </c>
      <c r="L13" s="12" t="s">
        <v>166</v>
      </c>
      <c r="M13" s="3"/>
    </row>
    <row r="14" ht="57.75" customHeight="1">
      <c r="A14" s="12" t="s">
        <v>33</v>
      </c>
      <c r="B14" s="12" t="s">
        <v>34</v>
      </c>
      <c r="C14" s="12" t="s">
        <v>36</v>
      </c>
      <c r="D14" s="12">
        <v>10.0</v>
      </c>
      <c r="E14" s="12" t="s">
        <v>129</v>
      </c>
      <c r="F14" s="12" t="s">
        <v>169</v>
      </c>
      <c r="G14" s="12" t="s">
        <v>170</v>
      </c>
      <c r="H14" s="12" t="s">
        <v>171</v>
      </c>
      <c r="I14" s="12" t="s">
        <v>174</v>
      </c>
      <c r="J14" s="12" t="s">
        <v>176</v>
      </c>
      <c r="K14" s="12" t="s">
        <v>178</v>
      </c>
      <c r="L14" s="12" t="s">
        <v>180</v>
      </c>
      <c r="M14" s="3"/>
    </row>
    <row r="15" ht="57.75" customHeight="1">
      <c r="A15" s="12" t="s">
        <v>33</v>
      </c>
      <c r="B15" s="12" t="s">
        <v>34</v>
      </c>
      <c r="C15" s="12" t="s">
        <v>36</v>
      </c>
      <c r="D15" s="12">
        <v>11.0</v>
      </c>
      <c r="E15" s="12" t="s">
        <v>153</v>
      </c>
      <c r="F15" s="12" t="s">
        <v>185</v>
      </c>
      <c r="G15" s="12" t="s">
        <v>187</v>
      </c>
      <c r="H15" s="12" t="s">
        <v>188</v>
      </c>
      <c r="I15" s="12" t="s">
        <v>190</v>
      </c>
      <c r="J15" s="12" t="s">
        <v>192</v>
      </c>
      <c r="K15" s="12" t="s">
        <v>195</v>
      </c>
      <c r="L15" s="12" t="s">
        <v>197</v>
      </c>
      <c r="M15" s="3"/>
    </row>
    <row r="16" ht="57.75" customHeight="1">
      <c r="A16" s="12" t="s">
        <v>33</v>
      </c>
      <c r="B16" s="12" t="s">
        <v>34</v>
      </c>
      <c r="C16" s="12" t="s">
        <v>36</v>
      </c>
      <c r="D16" s="12">
        <v>12.0</v>
      </c>
      <c r="E16" s="12" t="s">
        <v>200</v>
      </c>
      <c r="F16" s="12" t="s">
        <v>202</v>
      </c>
      <c r="G16" s="12" t="s">
        <v>204</v>
      </c>
      <c r="H16" s="12" t="s">
        <v>205</v>
      </c>
      <c r="I16" s="12" t="s">
        <v>208</v>
      </c>
      <c r="J16" s="12" t="s">
        <v>210</v>
      </c>
      <c r="K16" s="12" t="s">
        <v>212</v>
      </c>
      <c r="L16" s="12" t="s">
        <v>213</v>
      </c>
      <c r="M16" s="3"/>
    </row>
    <row r="17" ht="57.75" customHeight="1">
      <c r="A17" s="12" t="s">
        <v>48</v>
      </c>
      <c r="B17" s="12" t="s">
        <v>50</v>
      </c>
      <c r="C17" s="12" t="s">
        <v>36</v>
      </c>
      <c r="D17" s="12">
        <v>1.0</v>
      </c>
      <c r="E17" s="12" t="s">
        <v>37</v>
      </c>
      <c r="F17" s="12" t="s">
        <v>217</v>
      </c>
      <c r="G17" s="12" t="s">
        <v>218</v>
      </c>
      <c r="H17" s="12" t="s">
        <v>219</v>
      </c>
      <c r="I17" s="12" t="s">
        <v>221</v>
      </c>
      <c r="J17" s="12" t="s">
        <v>222</v>
      </c>
      <c r="K17" s="12" t="s">
        <v>224</v>
      </c>
      <c r="L17" s="12" t="s">
        <v>225</v>
      </c>
      <c r="M17" s="3"/>
    </row>
    <row r="18" ht="57.75" customHeight="1">
      <c r="A18" s="12" t="s">
        <v>48</v>
      </c>
      <c r="B18" s="12" t="s">
        <v>50</v>
      </c>
      <c r="C18" s="12" t="s">
        <v>36</v>
      </c>
      <c r="D18" s="12">
        <v>2.0</v>
      </c>
      <c r="E18" s="12" t="s">
        <v>37</v>
      </c>
      <c r="F18" s="12" t="s">
        <v>227</v>
      </c>
      <c r="G18" s="12" t="s">
        <v>229</v>
      </c>
      <c r="H18" s="12" t="s">
        <v>230</v>
      </c>
      <c r="I18" s="12" t="s">
        <v>231</v>
      </c>
      <c r="J18" s="12" t="s">
        <v>232</v>
      </c>
      <c r="K18" s="12" t="s">
        <v>233</v>
      </c>
      <c r="L18" s="12" t="s">
        <v>235</v>
      </c>
      <c r="M18" s="3"/>
    </row>
    <row r="19" ht="57.75" customHeight="1">
      <c r="A19" s="12" t="s">
        <v>48</v>
      </c>
      <c r="B19" s="12" t="s">
        <v>50</v>
      </c>
      <c r="C19" s="12" t="s">
        <v>36</v>
      </c>
      <c r="D19" s="12">
        <v>3.0</v>
      </c>
      <c r="E19" s="12" t="s">
        <v>238</v>
      </c>
      <c r="F19" s="12" t="s">
        <v>239</v>
      </c>
      <c r="G19" s="12" t="s">
        <v>240</v>
      </c>
      <c r="H19" s="12" t="s">
        <v>242</v>
      </c>
      <c r="I19" s="12" t="s">
        <v>243</v>
      </c>
      <c r="J19" s="12" t="s">
        <v>244</v>
      </c>
      <c r="K19" s="12" t="s">
        <v>245</v>
      </c>
      <c r="L19" s="12" t="s">
        <v>246</v>
      </c>
      <c r="M19" s="3"/>
    </row>
    <row r="20" ht="57.75" customHeight="1">
      <c r="A20" s="12" t="s">
        <v>48</v>
      </c>
      <c r="B20" s="12" t="s">
        <v>50</v>
      </c>
      <c r="C20" s="12" t="s">
        <v>36</v>
      </c>
      <c r="D20" s="12">
        <v>4.0</v>
      </c>
      <c r="E20" s="12" t="s">
        <v>238</v>
      </c>
      <c r="F20" s="12" t="s">
        <v>248</v>
      </c>
      <c r="G20" s="12" t="s">
        <v>249</v>
      </c>
      <c r="H20" s="12" t="s">
        <v>250</v>
      </c>
      <c r="I20" s="12" t="s">
        <v>252</v>
      </c>
      <c r="J20" s="12" t="s">
        <v>254</v>
      </c>
      <c r="K20" s="12" t="s">
        <v>255</v>
      </c>
      <c r="L20" s="12" t="s">
        <v>256</v>
      </c>
      <c r="M20" s="3"/>
    </row>
    <row r="21" ht="57.75" customHeight="1">
      <c r="A21" s="12" t="s">
        <v>48</v>
      </c>
      <c r="B21" s="12" t="s">
        <v>50</v>
      </c>
      <c r="C21" s="12" t="s">
        <v>36</v>
      </c>
      <c r="D21" s="12">
        <v>5.0</v>
      </c>
      <c r="E21" s="12" t="s">
        <v>238</v>
      </c>
      <c r="F21" s="12" t="s">
        <v>261</v>
      </c>
      <c r="G21" s="12" t="s">
        <v>262</v>
      </c>
      <c r="H21" s="12" t="s">
        <v>263</v>
      </c>
      <c r="I21" s="12" t="s">
        <v>264</v>
      </c>
      <c r="J21" s="12" t="s">
        <v>265</v>
      </c>
      <c r="K21" s="12" t="s">
        <v>267</v>
      </c>
      <c r="L21" s="12" t="s">
        <v>269</v>
      </c>
      <c r="M21" s="3"/>
    </row>
    <row r="22" ht="57.75" customHeight="1">
      <c r="A22" s="12" t="s">
        <v>48</v>
      </c>
      <c r="B22" s="12" t="s">
        <v>50</v>
      </c>
      <c r="C22" s="12" t="s">
        <v>36</v>
      </c>
      <c r="D22" s="12">
        <v>6.0</v>
      </c>
      <c r="E22" s="12" t="s">
        <v>238</v>
      </c>
      <c r="F22" s="12" t="s">
        <v>273</v>
      </c>
      <c r="G22" s="12" t="s">
        <v>276</v>
      </c>
      <c r="H22" s="12" t="s">
        <v>279</v>
      </c>
      <c r="I22" s="12" t="s">
        <v>280</v>
      </c>
      <c r="J22" s="12" t="s">
        <v>282</v>
      </c>
      <c r="K22" s="12" t="s">
        <v>284</v>
      </c>
      <c r="L22" s="12" t="s">
        <v>286</v>
      </c>
      <c r="M22" s="3"/>
    </row>
    <row r="23" ht="57.75" customHeight="1">
      <c r="A23" s="12" t="s">
        <v>48</v>
      </c>
      <c r="B23" s="12" t="s">
        <v>50</v>
      </c>
      <c r="C23" s="12" t="s">
        <v>36</v>
      </c>
      <c r="D23" s="12">
        <v>7.0</v>
      </c>
      <c r="E23" s="12" t="s">
        <v>238</v>
      </c>
      <c r="F23" s="12" t="s">
        <v>291</v>
      </c>
      <c r="G23" s="12" t="s">
        <v>293</v>
      </c>
      <c r="H23" s="12" t="s">
        <v>296</v>
      </c>
      <c r="I23" s="12" t="s">
        <v>298</v>
      </c>
      <c r="J23" s="12" t="s">
        <v>299</v>
      </c>
      <c r="K23" s="12" t="s">
        <v>302</v>
      </c>
      <c r="L23" s="12" t="s">
        <v>304</v>
      </c>
      <c r="M23" s="3"/>
    </row>
    <row r="24" ht="57.75" customHeight="1">
      <c r="A24" s="12" t="s">
        <v>48</v>
      </c>
      <c r="B24" s="12" t="s">
        <v>50</v>
      </c>
      <c r="C24" s="12" t="s">
        <v>36</v>
      </c>
      <c r="D24" s="12">
        <v>8.0</v>
      </c>
      <c r="E24" s="12" t="s">
        <v>307</v>
      </c>
      <c r="F24" s="12" t="s">
        <v>309</v>
      </c>
      <c r="G24" s="12" t="s">
        <v>311</v>
      </c>
      <c r="H24" s="12" t="s">
        <v>313</v>
      </c>
      <c r="I24" s="12" t="s">
        <v>315</v>
      </c>
      <c r="J24" s="12" t="s">
        <v>317</v>
      </c>
      <c r="K24" s="12" t="s">
        <v>318</v>
      </c>
      <c r="L24" s="12" t="s">
        <v>320</v>
      </c>
      <c r="M24" s="3"/>
    </row>
    <row r="25" ht="57.75" customHeight="1">
      <c r="A25" s="12" t="s">
        <v>48</v>
      </c>
      <c r="B25" s="12" t="s">
        <v>50</v>
      </c>
      <c r="C25" s="12" t="s">
        <v>36</v>
      </c>
      <c r="D25" s="12">
        <v>9.0</v>
      </c>
      <c r="E25" s="12" t="s">
        <v>307</v>
      </c>
      <c r="F25" s="12" t="s">
        <v>325</v>
      </c>
      <c r="G25" s="12" t="s">
        <v>328</v>
      </c>
      <c r="H25" s="12" t="s">
        <v>330</v>
      </c>
      <c r="I25" s="12" t="s">
        <v>331</v>
      </c>
      <c r="J25" s="12" t="s">
        <v>334</v>
      </c>
      <c r="K25" s="12" t="s">
        <v>336</v>
      </c>
      <c r="L25" s="12" t="s">
        <v>338</v>
      </c>
      <c r="M25" s="3"/>
    </row>
    <row r="26" ht="57.75" customHeight="1">
      <c r="A26" s="12" t="s">
        <v>48</v>
      </c>
      <c r="B26" s="12" t="s">
        <v>50</v>
      </c>
      <c r="C26" s="12" t="s">
        <v>36</v>
      </c>
      <c r="D26" s="12">
        <v>10.0</v>
      </c>
      <c r="E26" s="12" t="s">
        <v>339</v>
      </c>
      <c r="F26" s="12" t="s">
        <v>340</v>
      </c>
      <c r="G26" s="12" t="s">
        <v>341</v>
      </c>
      <c r="H26" s="12" t="s">
        <v>342</v>
      </c>
      <c r="I26" s="12" t="s">
        <v>343</v>
      </c>
      <c r="J26" s="12" t="s">
        <v>344</v>
      </c>
      <c r="K26" s="12" t="s">
        <v>345</v>
      </c>
      <c r="L26" s="12" t="s">
        <v>346</v>
      </c>
      <c r="M26" s="3"/>
    </row>
    <row r="27" ht="57.75" customHeight="1">
      <c r="A27" s="12" t="s">
        <v>48</v>
      </c>
      <c r="B27" s="12" t="s">
        <v>50</v>
      </c>
      <c r="C27" s="12" t="s">
        <v>36</v>
      </c>
      <c r="D27" s="12">
        <v>11.0</v>
      </c>
      <c r="E27" s="12" t="s">
        <v>347</v>
      </c>
      <c r="F27" s="12" t="s">
        <v>348</v>
      </c>
      <c r="G27" s="12" t="s">
        <v>349</v>
      </c>
      <c r="H27" s="12" t="s">
        <v>350</v>
      </c>
      <c r="I27" s="12" t="s">
        <v>351</v>
      </c>
      <c r="J27" s="12" t="s">
        <v>352</v>
      </c>
      <c r="K27" s="12" t="s">
        <v>353</v>
      </c>
      <c r="L27" s="12" t="s">
        <v>354</v>
      </c>
      <c r="M27" s="3"/>
    </row>
    <row r="28" ht="57.75" customHeight="1">
      <c r="A28" s="12" t="s">
        <v>48</v>
      </c>
      <c r="B28" s="12" t="s">
        <v>50</v>
      </c>
      <c r="C28" s="12" t="s">
        <v>36</v>
      </c>
      <c r="D28" s="12">
        <v>12.0</v>
      </c>
      <c r="E28" s="12" t="s">
        <v>355</v>
      </c>
      <c r="F28" s="12" t="s">
        <v>356</v>
      </c>
      <c r="G28" s="12" t="s">
        <v>357</v>
      </c>
      <c r="H28" s="12" t="s">
        <v>358</v>
      </c>
      <c r="I28" s="12" t="s">
        <v>359</v>
      </c>
      <c r="J28" s="12" t="s">
        <v>360</v>
      </c>
      <c r="K28" s="12" t="s">
        <v>361</v>
      </c>
      <c r="L28" s="12" t="s">
        <v>362</v>
      </c>
      <c r="M28" s="3"/>
    </row>
    <row r="29" ht="57.75" customHeight="1">
      <c r="A29" s="12" t="s">
        <v>65</v>
      </c>
      <c r="B29" s="12" t="s">
        <v>68</v>
      </c>
      <c r="C29" s="12" t="s">
        <v>168</v>
      </c>
      <c r="D29" s="12">
        <v>1.0</v>
      </c>
      <c r="E29" s="12" t="s">
        <v>363</v>
      </c>
      <c r="F29" s="12" t="s">
        <v>364</v>
      </c>
      <c r="G29" s="12" t="s">
        <v>365</v>
      </c>
      <c r="H29" s="12" t="s">
        <v>366</v>
      </c>
      <c r="I29" s="12" t="s">
        <v>367</v>
      </c>
      <c r="J29" s="12" t="s">
        <v>368</v>
      </c>
      <c r="K29" s="12" t="s">
        <v>369</v>
      </c>
      <c r="L29" s="12" t="s">
        <v>370</v>
      </c>
      <c r="M29" s="3"/>
    </row>
    <row r="30" ht="57.75" customHeight="1">
      <c r="A30" s="12" t="s">
        <v>65</v>
      </c>
      <c r="B30" s="12" t="s">
        <v>68</v>
      </c>
      <c r="C30" s="12" t="s">
        <v>168</v>
      </c>
      <c r="D30" s="12">
        <v>2.0</v>
      </c>
      <c r="E30" s="12" t="s">
        <v>238</v>
      </c>
      <c r="F30" s="12" t="s">
        <v>371</v>
      </c>
      <c r="G30" s="12" t="s">
        <v>372</v>
      </c>
      <c r="H30" s="12" t="s">
        <v>373</v>
      </c>
      <c r="I30" s="12" t="s">
        <v>374</v>
      </c>
      <c r="J30" s="12" t="s">
        <v>375</v>
      </c>
      <c r="K30" s="12" t="s">
        <v>376</v>
      </c>
      <c r="L30" s="12" t="s">
        <v>377</v>
      </c>
      <c r="M30" s="3"/>
    </row>
    <row r="31" ht="57.75" customHeight="1">
      <c r="A31" s="12" t="s">
        <v>65</v>
      </c>
      <c r="B31" s="12" t="s">
        <v>68</v>
      </c>
      <c r="C31" s="12" t="s">
        <v>168</v>
      </c>
      <c r="D31" s="12">
        <v>3.0</v>
      </c>
      <c r="E31" s="12" t="s">
        <v>378</v>
      </c>
      <c r="F31" s="12" t="s">
        <v>379</v>
      </c>
      <c r="G31" s="12" t="s">
        <v>380</v>
      </c>
      <c r="H31" s="12" t="s">
        <v>381</v>
      </c>
      <c r="I31" s="12" t="s">
        <v>382</v>
      </c>
      <c r="J31" s="12" t="s">
        <v>383</v>
      </c>
      <c r="K31" s="12" t="s">
        <v>384</v>
      </c>
      <c r="L31" s="12" t="s">
        <v>385</v>
      </c>
      <c r="M31" s="3"/>
    </row>
    <row r="32" ht="57.75" customHeight="1">
      <c r="A32" s="12" t="s">
        <v>65</v>
      </c>
      <c r="B32" s="12" t="s">
        <v>68</v>
      </c>
      <c r="C32" s="12" t="s">
        <v>168</v>
      </c>
      <c r="D32" s="12">
        <v>4.0</v>
      </c>
      <c r="E32" s="12" t="s">
        <v>306</v>
      </c>
      <c r="F32" s="12" t="s">
        <v>386</v>
      </c>
      <c r="G32" s="12" t="s">
        <v>387</v>
      </c>
      <c r="H32" s="12" t="s">
        <v>388</v>
      </c>
      <c r="I32" s="12" t="s">
        <v>389</v>
      </c>
      <c r="J32" s="12" t="s">
        <v>390</v>
      </c>
      <c r="K32" s="12" t="s">
        <v>391</v>
      </c>
      <c r="L32" s="12" t="s">
        <v>392</v>
      </c>
      <c r="M32" s="3"/>
    </row>
    <row r="33" ht="57.75" customHeight="1">
      <c r="A33" s="12" t="s">
        <v>65</v>
      </c>
      <c r="B33" s="12" t="s">
        <v>68</v>
      </c>
      <c r="C33" s="12" t="s">
        <v>168</v>
      </c>
      <c r="D33" s="12">
        <v>5.0</v>
      </c>
      <c r="E33" s="12" t="s">
        <v>238</v>
      </c>
      <c r="F33" s="12" t="s">
        <v>393</v>
      </c>
      <c r="G33" s="12" t="s">
        <v>394</v>
      </c>
      <c r="H33" s="12" t="s">
        <v>395</v>
      </c>
      <c r="I33" s="12" t="s">
        <v>396</v>
      </c>
      <c r="J33" s="12" t="s">
        <v>397</v>
      </c>
      <c r="K33" s="12" t="s">
        <v>398</v>
      </c>
      <c r="L33" s="12" t="s">
        <v>399</v>
      </c>
      <c r="M33" s="3"/>
    </row>
    <row r="34" ht="57.75" customHeight="1">
      <c r="A34" s="12" t="s">
        <v>65</v>
      </c>
      <c r="B34" s="12" t="s">
        <v>68</v>
      </c>
      <c r="C34" s="12" t="s">
        <v>168</v>
      </c>
      <c r="D34" s="12">
        <v>6.0</v>
      </c>
      <c r="E34" s="12" t="s">
        <v>400</v>
      </c>
      <c r="F34" s="12" t="s">
        <v>401</v>
      </c>
      <c r="G34" s="12" t="s">
        <v>402</v>
      </c>
      <c r="H34" s="12" t="s">
        <v>403</v>
      </c>
      <c r="I34" s="12" t="s">
        <v>404</v>
      </c>
      <c r="J34" s="12" t="s">
        <v>405</v>
      </c>
      <c r="K34" s="12" t="s">
        <v>406</v>
      </c>
      <c r="L34" s="12" t="s">
        <v>407</v>
      </c>
      <c r="M34" s="3"/>
    </row>
    <row r="35" ht="57.75" customHeight="1">
      <c r="A35" s="12" t="s">
        <v>65</v>
      </c>
      <c r="B35" s="12" t="s">
        <v>68</v>
      </c>
      <c r="C35" s="12" t="s">
        <v>168</v>
      </c>
      <c r="D35" s="12">
        <v>7.0</v>
      </c>
      <c r="E35" s="12" t="s">
        <v>408</v>
      </c>
      <c r="F35" s="12" t="s">
        <v>409</v>
      </c>
      <c r="G35" s="12" t="s">
        <v>410</v>
      </c>
      <c r="H35" s="12" t="s">
        <v>411</v>
      </c>
      <c r="I35" s="12" t="s">
        <v>412</v>
      </c>
      <c r="J35" s="12" t="s">
        <v>413</v>
      </c>
      <c r="K35" s="12" t="s">
        <v>414</v>
      </c>
      <c r="L35" s="12" t="s">
        <v>415</v>
      </c>
      <c r="M35" s="3"/>
    </row>
    <row r="36" ht="57.75" customHeight="1">
      <c r="A36" s="12" t="s">
        <v>65</v>
      </c>
      <c r="B36" s="12" t="s">
        <v>68</v>
      </c>
      <c r="C36" s="12" t="s">
        <v>168</v>
      </c>
      <c r="D36" s="12">
        <v>8.0</v>
      </c>
      <c r="E36" s="12" t="s">
        <v>238</v>
      </c>
      <c r="F36" s="12" t="s">
        <v>416</v>
      </c>
      <c r="G36" s="12" t="s">
        <v>417</v>
      </c>
      <c r="H36" s="12" t="s">
        <v>418</v>
      </c>
      <c r="I36" s="12" t="s">
        <v>419</v>
      </c>
      <c r="J36" s="12" t="s">
        <v>420</v>
      </c>
      <c r="K36" s="12" t="s">
        <v>421</v>
      </c>
      <c r="L36" s="12" t="s">
        <v>422</v>
      </c>
      <c r="M36" s="3"/>
    </row>
    <row r="37" ht="57.75" customHeight="1">
      <c r="A37" s="12" t="s">
        <v>65</v>
      </c>
      <c r="B37" s="12" t="s">
        <v>68</v>
      </c>
      <c r="C37" s="12" t="s">
        <v>168</v>
      </c>
      <c r="D37" s="12">
        <v>9.0</v>
      </c>
      <c r="E37" s="12" t="s">
        <v>307</v>
      </c>
      <c r="F37" s="12" t="s">
        <v>423</v>
      </c>
      <c r="G37" s="12" t="s">
        <v>424</v>
      </c>
      <c r="H37" s="12" t="s">
        <v>425</v>
      </c>
      <c r="I37" s="12" t="s">
        <v>426</v>
      </c>
      <c r="J37" s="12" t="s">
        <v>427</v>
      </c>
      <c r="K37" s="12" t="s">
        <v>428</v>
      </c>
      <c r="L37" s="12" t="s">
        <v>429</v>
      </c>
      <c r="M37" s="3"/>
    </row>
    <row r="38" ht="57.75" customHeight="1">
      <c r="A38" s="12" t="s">
        <v>65</v>
      </c>
      <c r="B38" s="12" t="s">
        <v>68</v>
      </c>
      <c r="C38" s="12" t="s">
        <v>168</v>
      </c>
      <c r="D38" s="12">
        <v>10.0</v>
      </c>
      <c r="E38" s="12" t="s">
        <v>238</v>
      </c>
      <c r="F38" s="12" t="s">
        <v>430</v>
      </c>
      <c r="G38" s="12" t="s">
        <v>431</v>
      </c>
      <c r="H38" s="12" t="s">
        <v>432</v>
      </c>
      <c r="I38" s="12" t="s">
        <v>433</v>
      </c>
      <c r="J38" s="12" t="s">
        <v>434</v>
      </c>
      <c r="K38" s="12" t="s">
        <v>435</v>
      </c>
      <c r="L38" s="12" t="s">
        <v>436</v>
      </c>
      <c r="M38" s="3"/>
    </row>
    <row r="39" ht="57.75" customHeight="1">
      <c r="A39" s="12" t="s">
        <v>65</v>
      </c>
      <c r="B39" s="12" t="s">
        <v>68</v>
      </c>
      <c r="C39" s="12" t="s">
        <v>168</v>
      </c>
      <c r="D39" s="12">
        <v>11.0</v>
      </c>
      <c r="E39" s="12" t="s">
        <v>437</v>
      </c>
      <c r="F39" s="12" t="s">
        <v>438</v>
      </c>
      <c r="G39" s="12" t="s">
        <v>439</v>
      </c>
      <c r="H39" s="12" t="s">
        <v>440</v>
      </c>
      <c r="I39" s="12" t="s">
        <v>441</v>
      </c>
      <c r="J39" s="12" t="s">
        <v>442</v>
      </c>
      <c r="K39" s="12" t="s">
        <v>443</v>
      </c>
      <c r="L39" s="12" t="s">
        <v>444</v>
      </c>
      <c r="M39" s="3"/>
    </row>
    <row r="40" ht="57.75" customHeight="1">
      <c r="A40" s="12" t="s">
        <v>65</v>
      </c>
      <c r="B40" s="12" t="s">
        <v>68</v>
      </c>
      <c r="C40" s="12" t="s">
        <v>168</v>
      </c>
      <c r="D40" s="12">
        <v>12.0</v>
      </c>
      <c r="E40" s="12" t="s">
        <v>200</v>
      </c>
      <c r="F40" s="12" t="s">
        <v>445</v>
      </c>
      <c r="G40" s="12" t="s">
        <v>446</v>
      </c>
      <c r="H40" s="12" t="s">
        <v>447</v>
      </c>
      <c r="I40" s="12" t="s">
        <v>448</v>
      </c>
      <c r="J40" s="12" t="s">
        <v>449</v>
      </c>
      <c r="K40" s="12" t="s">
        <v>450</v>
      </c>
      <c r="L40" s="12" t="s">
        <v>451</v>
      </c>
      <c r="M40" s="3"/>
    </row>
    <row r="41" ht="57.75" customHeight="1">
      <c r="A41" s="12" t="s">
        <v>89</v>
      </c>
      <c r="B41" s="12" t="s">
        <v>91</v>
      </c>
      <c r="C41" s="12" t="s">
        <v>186</v>
      </c>
      <c r="D41" s="12">
        <v>1.0</v>
      </c>
      <c r="E41" s="12" t="s">
        <v>37</v>
      </c>
      <c r="F41" s="12" t="s">
        <v>452</v>
      </c>
      <c r="G41" s="12" t="s">
        <v>453</v>
      </c>
      <c r="H41" s="12" t="s">
        <v>454</v>
      </c>
      <c r="I41" s="12" t="s">
        <v>455</v>
      </c>
      <c r="J41" s="12" t="s">
        <v>456</v>
      </c>
      <c r="K41" s="12" t="s">
        <v>457</v>
      </c>
      <c r="L41" s="12" t="s">
        <v>458</v>
      </c>
      <c r="M41" s="3"/>
    </row>
    <row r="42" ht="57.75" customHeight="1">
      <c r="A42" s="12" t="s">
        <v>89</v>
      </c>
      <c r="B42" s="12" t="s">
        <v>91</v>
      </c>
      <c r="C42" s="12" t="s">
        <v>186</v>
      </c>
      <c r="D42" s="12">
        <v>2.0</v>
      </c>
      <c r="E42" s="12" t="s">
        <v>459</v>
      </c>
      <c r="F42" s="12" t="s">
        <v>460</v>
      </c>
      <c r="G42" s="12" t="s">
        <v>461</v>
      </c>
      <c r="H42" s="12" t="s">
        <v>462</v>
      </c>
      <c r="I42" s="12" t="s">
        <v>463</v>
      </c>
      <c r="J42" s="12" t="s">
        <v>464</v>
      </c>
      <c r="K42" s="12" t="s">
        <v>465</v>
      </c>
      <c r="L42" s="12" t="s">
        <v>466</v>
      </c>
      <c r="M42" s="3"/>
    </row>
    <row r="43" ht="57.75" customHeight="1">
      <c r="A43" s="12" t="s">
        <v>89</v>
      </c>
      <c r="B43" s="12" t="s">
        <v>91</v>
      </c>
      <c r="C43" s="12" t="s">
        <v>186</v>
      </c>
      <c r="D43" s="12">
        <v>3.0</v>
      </c>
      <c r="E43" s="12" t="s">
        <v>467</v>
      </c>
      <c r="F43" s="12" t="s">
        <v>468</v>
      </c>
      <c r="G43" s="12" t="s">
        <v>469</v>
      </c>
      <c r="H43" s="12" t="s">
        <v>470</v>
      </c>
      <c r="I43" s="12" t="s">
        <v>471</v>
      </c>
      <c r="J43" s="12" t="s">
        <v>472</v>
      </c>
      <c r="K43" s="12" t="s">
        <v>473</v>
      </c>
      <c r="L43" s="12" t="s">
        <v>474</v>
      </c>
      <c r="M43" s="3"/>
    </row>
    <row r="44" ht="57.75" customHeight="1">
      <c r="A44" s="12" t="s">
        <v>89</v>
      </c>
      <c r="B44" s="12" t="s">
        <v>91</v>
      </c>
      <c r="C44" s="12" t="s">
        <v>186</v>
      </c>
      <c r="D44" s="12">
        <v>4.0</v>
      </c>
      <c r="E44" s="12" t="s">
        <v>238</v>
      </c>
      <c r="F44" s="12" t="s">
        <v>475</v>
      </c>
      <c r="G44" s="12" t="s">
        <v>476</v>
      </c>
      <c r="H44" s="12" t="s">
        <v>477</v>
      </c>
      <c r="I44" s="12" t="s">
        <v>478</v>
      </c>
      <c r="J44" s="12" t="s">
        <v>479</v>
      </c>
      <c r="K44" s="12" t="s">
        <v>480</v>
      </c>
      <c r="L44" s="12" t="s">
        <v>481</v>
      </c>
      <c r="M44" s="3"/>
    </row>
    <row r="45" ht="57.75" customHeight="1">
      <c r="A45" s="12" t="s">
        <v>89</v>
      </c>
      <c r="B45" s="12" t="s">
        <v>91</v>
      </c>
      <c r="C45" s="12" t="s">
        <v>186</v>
      </c>
      <c r="D45" s="12">
        <v>5.0</v>
      </c>
      <c r="E45" s="12" t="s">
        <v>238</v>
      </c>
      <c r="F45" s="12" t="s">
        <v>482</v>
      </c>
      <c r="G45" s="12" t="s">
        <v>483</v>
      </c>
      <c r="H45" s="12" t="s">
        <v>484</v>
      </c>
      <c r="I45" s="12" t="s">
        <v>485</v>
      </c>
      <c r="J45" s="12" t="s">
        <v>486</v>
      </c>
      <c r="K45" s="12" t="s">
        <v>487</v>
      </c>
      <c r="L45" s="12" t="s">
        <v>488</v>
      </c>
      <c r="M45" s="3"/>
    </row>
    <row r="46" ht="57.75" customHeight="1">
      <c r="A46" s="12" t="s">
        <v>89</v>
      </c>
      <c r="B46" s="12" t="s">
        <v>91</v>
      </c>
      <c r="C46" s="12" t="s">
        <v>186</v>
      </c>
      <c r="D46" s="12">
        <v>6.0</v>
      </c>
      <c r="E46" s="12" t="s">
        <v>408</v>
      </c>
      <c r="F46" s="12" t="s">
        <v>489</v>
      </c>
      <c r="G46" s="12" t="s">
        <v>490</v>
      </c>
      <c r="H46" s="12" t="s">
        <v>491</v>
      </c>
      <c r="I46" s="12" t="s">
        <v>492</v>
      </c>
      <c r="J46" s="12" t="s">
        <v>493</v>
      </c>
      <c r="K46" s="12" t="s">
        <v>494</v>
      </c>
      <c r="L46" s="12" t="s">
        <v>495</v>
      </c>
      <c r="M46" s="3"/>
    </row>
    <row r="47" ht="57.75" customHeight="1">
      <c r="A47" s="12" t="s">
        <v>89</v>
      </c>
      <c r="B47" s="12" t="s">
        <v>91</v>
      </c>
      <c r="C47" s="12" t="s">
        <v>186</v>
      </c>
      <c r="D47" s="12">
        <v>7.0</v>
      </c>
      <c r="E47" s="12" t="s">
        <v>437</v>
      </c>
      <c r="F47" s="12" t="s">
        <v>496</v>
      </c>
      <c r="G47" s="12" t="s">
        <v>497</v>
      </c>
      <c r="H47" s="12" t="s">
        <v>498</v>
      </c>
      <c r="I47" s="12" t="s">
        <v>499</v>
      </c>
      <c r="J47" s="12" t="s">
        <v>500</v>
      </c>
      <c r="K47" s="12" t="s">
        <v>501</v>
      </c>
      <c r="L47" s="12" t="s">
        <v>502</v>
      </c>
      <c r="M47" s="3"/>
    </row>
    <row r="48" ht="57.75" customHeight="1">
      <c r="A48" s="12" t="s">
        <v>89</v>
      </c>
      <c r="B48" s="12" t="s">
        <v>91</v>
      </c>
      <c r="C48" s="12" t="s">
        <v>186</v>
      </c>
      <c r="D48" s="12">
        <v>8.0</v>
      </c>
      <c r="E48" s="12" t="s">
        <v>437</v>
      </c>
      <c r="F48" s="12" t="s">
        <v>503</v>
      </c>
      <c r="G48" s="12" t="s">
        <v>504</v>
      </c>
      <c r="H48" s="12" t="s">
        <v>505</v>
      </c>
      <c r="I48" s="12" t="s">
        <v>506</v>
      </c>
      <c r="J48" s="12" t="s">
        <v>507</v>
      </c>
      <c r="K48" s="12" t="s">
        <v>508</v>
      </c>
      <c r="L48" s="12" t="s">
        <v>509</v>
      </c>
      <c r="M48" s="3"/>
    </row>
    <row r="49" ht="57.75" customHeight="1">
      <c r="A49" s="12" t="s">
        <v>89</v>
      </c>
      <c r="B49" s="12" t="s">
        <v>91</v>
      </c>
      <c r="C49" s="12" t="s">
        <v>186</v>
      </c>
      <c r="D49" s="12">
        <v>9.0</v>
      </c>
      <c r="E49" s="12" t="s">
        <v>99</v>
      </c>
      <c r="F49" s="12" t="s">
        <v>510</v>
      </c>
      <c r="G49" s="12" t="s">
        <v>511</v>
      </c>
      <c r="H49" s="12" t="s">
        <v>512</v>
      </c>
      <c r="I49" s="12" t="s">
        <v>513</v>
      </c>
      <c r="J49" s="12" t="s">
        <v>514</v>
      </c>
      <c r="K49" s="12" t="s">
        <v>515</v>
      </c>
      <c r="L49" s="12" t="s">
        <v>516</v>
      </c>
      <c r="M49" s="3"/>
    </row>
    <row r="50" ht="57.75" customHeight="1">
      <c r="A50" s="12" t="s">
        <v>89</v>
      </c>
      <c r="B50" s="12" t="s">
        <v>91</v>
      </c>
      <c r="C50" s="12" t="s">
        <v>186</v>
      </c>
      <c r="D50" s="12">
        <v>10.0</v>
      </c>
      <c r="E50" s="12" t="s">
        <v>306</v>
      </c>
      <c r="F50" s="12" t="s">
        <v>517</v>
      </c>
      <c r="G50" s="12" t="s">
        <v>518</v>
      </c>
      <c r="H50" s="12" t="s">
        <v>519</v>
      </c>
      <c r="I50" s="12" t="s">
        <v>520</v>
      </c>
      <c r="J50" s="12" t="s">
        <v>521</v>
      </c>
      <c r="K50" s="12" t="s">
        <v>522</v>
      </c>
      <c r="L50" s="12" t="s">
        <v>523</v>
      </c>
      <c r="M50" s="3"/>
    </row>
    <row r="51" ht="57.75" customHeight="1">
      <c r="A51" s="12" t="s">
        <v>89</v>
      </c>
      <c r="B51" s="12" t="s">
        <v>91</v>
      </c>
      <c r="C51" s="12" t="s">
        <v>186</v>
      </c>
      <c r="D51" s="12">
        <v>11.0</v>
      </c>
      <c r="E51" s="12" t="s">
        <v>524</v>
      </c>
      <c r="F51" s="12" t="s">
        <v>525</v>
      </c>
      <c r="G51" s="12" t="s">
        <v>526</v>
      </c>
      <c r="H51" s="12" t="s">
        <v>527</v>
      </c>
      <c r="I51" s="12" t="s">
        <v>528</v>
      </c>
      <c r="J51" s="12" t="s">
        <v>529</v>
      </c>
      <c r="K51" s="12" t="s">
        <v>530</v>
      </c>
      <c r="L51" s="12" t="s">
        <v>531</v>
      </c>
      <c r="M51" s="3"/>
    </row>
    <row r="52" ht="57.75" customHeight="1">
      <c r="A52" s="12" t="s">
        <v>89</v>
      </c>
      <c r="B52" s="12" t="s">
        <v>91</v>
      </c>
      <c r="C52" s="12" t="s">
        <v>186</v>
      </c>
      <c r="D52" s="12">
        <v>12.0</v>
      </c>
      <c r="E52" s="12" t="s">
        <v>200</v>
      </c>
      <c r="F52" s="12" t="s">
        <v>532</v>
      </c>
      <c r="G52" s="12" t="s">
        <v>533</v>
      </c>
      <c r="H52" s="12" t="s">
        <v>534</v>
      </c>
      <c r="I52" s="12" t="s">
        <v>535</v>
      </c>
      <c r="J52" s="12" t="s">
        <v>536</v>
      </c>
      <c r="K52" s="12" t="s">
        <v>537</v>
      </c>
      <c r="L52" s="12" t="s">
        <v>538</v>
      </c>
      <c r="M52" s="3"/>
    </row>
    <row r="53" ht="57.75" customHeight="1">
      <c r="A53" s="12" t="s">
        <v>107</v>
      </c>
      <c r="B53" s="12" t="s">
        <v>109</v>
      </c>
      <c r="C53" s="12" t="s">
        <v>203</v>
      </c>
      <c r="D53" s="12">
        <v>1.0</v>
      </c>
      <c r="E53" s="12" t="s">
        <v>539</v>
      </c>
      <c r="F53" s="12" t="s">
        <v>540</v>
      </c>
      <c r="G53" s="12" t="s">
        <v>541</v>
      </c>
      <c r="H53" s="12" t="s">
        <v>542</v>
      </c>
      <c r="I53" s="12" t="s">
        <v>543</v>
      </c>
      <c r="J53" s="12" t="s">
        <v>544</v>
      </c>
      <c r="K53" s="12" t="s">
        <v>545</v>
      </c>
      <c r="L53" s="12" t="s">
        <v>546</v>
      </c>
      <c r="M53" s="3"/>
    </row>
    <row r="54" ht="57.75" customHeight="1">
      <c r="A54" s="12" t="s">
        <v>107</v>
      </c>
      <c r="B54" s="12" t="s">
        <v>109</v>
      </c>
      <c r="C54" s="12" t="s">
        <v>203</v>
      </c>
      <c r="D54" s="12">
        <v>2.0</v>
      </c>
      <c r="E54" s="12" t="s">
        <v>378</v>
      </c>
      <c r="F54" s="12" t="s">
        <v>547</v>
      </c>
      <c r="G54" s="12" t="s">
        <v>548</v>
      </c>
      <c r="H54" s="12" t="s">
        <v>549</v>
      </c>
      <c r="I54" s="12" t="s">
        <v>550</v>
      </c>
      <c r="J54" s="12" t="s">
        <v>551</v>
      </c>
      <c r="K54" s="12" t="s">
        <v>552</v>
      </c>
      <c r="L54" s="12" t="s">
        <v>553</v>
      </c>
      <c r="M54" s="3"/>
    </row>
    <row r="55" ht="57.75" customHeight="1">
      <c r="A55" s="12" t="s">
        <v>107</v>
      </c>
      <c r="B55" s="12" t="s">
        <v>109</v>
      </c>
      <c r="C55" s="12" t="s">
        <v>203</v>
      </c>
      <c r="D55" s="12">
        <v>3.0</v>
      </c>
      <c r="E55" s="12" t="s">
        <v>554</v>
      </c>
      <c r="F55" s="12" t="s">
        <v>555</v>
      </c>
      <c r="G55" s="12" t="s">
        <v>556</v>
      </c>
      <c r="H55" s="12" t="s">
        <v>557</v>
      </c>
      <c r="I55" s="12" t="s">
        <v>558</v>
      </c>
      <c r="J55" s="12" t="s">
        <v>559</v>
      </c>
      <c r="K55" s="12" t="s">
        <v>560</v>
      </c>
      <c r="L55" s="12" t="s">
        <v>561</v>
      </c>
      <c r="M55" s="3"/>
    </row>
    <row r="56" ht="57.75" customHeight="1">
      <c r="A56" s="12" t="s">
        <v>107</v>
      </c>
      <c r="B56" s="12" t="s">
        <v>109</v>
      </c>
      <c r="C56" s="12" t="s">
        <v>203</v>
      </c>
      <c r="D56" s="12">
        <v>4.0</v>
      </c>
      <c r="E56" s="12" t="s">
        <v>562</v>
      </c>
      <c r="F56" s="12" t="s">
        <v>563</v>
      </c>
      <c r="G56" s="12" t="s">
        <v>564</v>
      </c>
      <c r="H56" s="12" t="s">
        <v>565</v>
      </c>
      <c r="I56" s="12" t="s">
        <v>566</v>
      </c>
      <c r="J56" s="12" t="s">
        <v>567</v>
      </c>
      <c r="K56" s="12" t="s">
        <v>568</v>
      </c>
      <c r="L56" s="12" t="s">
        <v>569</v>
      </c>
      <c r="M56" s="3"/>
    </row>
    <row r="57" ht="57.75" customHeight="1">
      <c r="A57" s="12" t="s">
        <v>107</v>
      </c>
      <c r="B57" s="12" t="s">
        <v>109</v>
      </c>
      <c r="C57" s="12" t="s">
        <v>203</v>
      </c>
      <c r="D57" s="12">
        <v>5.0</v>
      </c>
      <c r="E57" s="12" t="s">
        <v>570</v>
      </c>
      <c r="F57" s="12" t="s">
        <v>571</v>
      </c>
      <c r="G57" s="12" t="s">
        <v>572</v>
      </c>
      <c r="H57" s="12" t="s">
        <v>573</v>
      </c>
      <c r="I57" s="12" t="s">
        <v>574</v>
      </c>
      <c r="J57" s="12" t="s">
        <v>575</v>
      </c>
      <c r="K57" s="12" t="s">
        <v>576</v>
      </c>
      <c r="L57" s="12" t="s">
        <v>577</v>
      </c>
      <c r="M57" s="3"/>
    </row>
    <row r="58" ht="57.75" customHeight="1">
      <c r="A58" s="12" t="s">
        <v>107</v>
      </c>
      <c r="B58" s="12" t="s">
        <v>109</v>
      </c>
      <c r="C58" s="12" t="s">
        <v>203</v>
      </c>
      <c r="D58" s="12">
        <v>6.0</v>
      </c>
      <c r="E58" s="12" t="s">
        <v>554</v>
      </c>
      <c r="F58" s="12" t="s">
        <v>578</v>
      </c>
      <c r="G58" s="12" t="s">
        <v>579</v>
      </c>
      <c r="H58" s="12" t="s">
        <v>580</v>
      </c>
      <c r="I58" s="12" t="s">
        <v>581</v>
      </c>
      <c r="J58" s="12" t="s">
        <v>582</v>
      </c>
      <c r="K58" s="12" t="s">
        <v>583</v>
      </c>
      <c r="L58" s="12" t="s">
        <v>584</v>
      </c>
      <c r="M58" s="3"/>
    </row>
    <row r="59" ht="57.75" customHeight="1">
      <c r="A59" s="12" t="s">
        <v>107</v>
      </c>
      <c r="B59" s="12" t="s">
        <v>109</v>
      </c>
      <c r="C59" s="12" t="s">
        <v>203</v>
      </c>
      <c r="D59" s="12">
        <v>7.0</v>
      </c>
      <c r="E59" s="12" t="s">
        <v>306</v>
      </c>
      <c r="F59" s="12" t="s">
        <v>585</v>
      </c>
      <c r="G59" s="12" t="s">
        <v>586</v>
      </c>
      <c r="H59" s="12" t="s">
        <v>587</v>
      </c>
      <c r="I59" s="12" t="s">
        <v>588</v>
      </c>
      <c r="J59" s="12" t="s">
        <v>589</v>
      </c>
      <c r="K59" s="12" t="s">
        <v>590</v>
      </c>
      <c r="L59" s="12" t="s">
        <v>591</v>
      </c>
      <c r="M59" s="3"/>
    </row>
    <row r="60" ht="57.75" customHeight="1">
      <c r="A60" s="12" t="s">
        <v>107</v>
      </c>
      <c r="B60" s="12" t="s">
        <v>109</v>
      </c>
      <c r="C60" s="12" t="s">
        <v>203</v>
      </c>
      <c r="D60" s="12">
        <v>8.0</v>
      </c>
      <c r="E60" s="12" t="s">
        <v>592</v>
      </c>
      <c r="F60" s="12" t="s">
        <v>593</v>
      </c>
      <c r="G60" s="12" t="s">
        <v>594</v>
      </c>
      <c r="H60" s="12" t="s">
        <v>595</v>
      </c>
      <c r="I60" s="12" t="s">
        <v>596</v>
      </c>
      <c r="J60" s="12" t="s">
        <v>597</v>
      </c>
      <c r="K60" s="12" t="s">
        <v>598</v>
      </c>
      <c r="L60" s="12" t="s">
        <v>599</v>
      </c>
      <c r="M60" s="3"/>
    </row>
    <row r="61" ht="57.75" customHeight="1">
      <c r="A61" s="12" t="s">
        <v>107</v>
      </c>
      <c r="B61" s="12" t="s">
        <v>109</v>
      </c>
      <c r="C61" s="12" t="s">
        <v>203</v>
      </c>
      <c r="D61" s="12">
        <v>9.0</v>
      </c>
      <c r="E61" s="12" t="s">
        <v>600</v>
      </c>
      <c r="F61" s="12" t="s">
        <v>601</v>
      </c>
      <c r="G61" s="12" t="s">
        <v>602</v>
      </c>
      <c r="H61" s="12" t="s">
        <v>603</v>
      </c>
      <c r="I61" s="12" t="s">
        <v>604</v>
      </c>
      <c r="J61" s="12" t="s">
        <v>605</v>
      </c>
      <c r="K61" s="12" t="s">
        <v>606</v>
      </c>
      <c r="L61" s="12" t="s">
        <v>607</v>
      </c>
      <c r="M61" s="3"/>
    </row>
    <row r="62" ht="57.75" customHeight="1">
      <c r="A62" s="12" t="s">
        <v>107</v>
      </c>
      <c r="B62" s="12" t="s">
        <v>109</v>
      </c>
      <c r="C62" s="12" t="s">
        <v>203</v>
      </c>
      <c r="D62" s="12">
        <v>10.0</v>
      </c>
      <c r="E62" s="12" t="s">
        <v>608</v>
      </c>
      <c r="F62" s="12" t="s">
        <v>609</v>
      </c>
      <c r="G62" s="12" t="s">
        <v>610</v>
      </c>
      <c r="H62" s="12" t="s">
        <v>611</v>
      </c>
      <c r="I62" s="12" t="s">
        <v>612</v>
      </c>
      <c r="J62" s="12" t="s">
        <v>613</v>
      </c>
      <c r="K62" s="12" t="s">
        <v>614</v>
      </c>
      <c r="L62" s="12" t="s">
        <v>615</v>
      </c>
      <c r="M62" s="3"/>
    </row>
    <row r="63" ht="57.75" customHeight="1">
      <c r="A63" s="12" t="s">
        <v>107</v>
      </c>
      <c r="B63" s="12" t="s">
        <v>109</v>
      </c>
      <c r="C63" s="12" t="s">
        <v>203</v>
      </c>
      <c r="D63" s="12">
        <v>11.0</v>
      </c>
      <c r="E63" s="12" t="s">
        <v>616</v>
      </c>
      <c r="F63" s="12" t="s">
        <v>617</v>
      </c>
      <c r="G63" s="12" t="s">
        <v>618</v>
      </c>
      <c r="H63" s="12" t="s">
        <v>619</v>
      </c>
      <c r="I63" s="12" t="s">
        <v>620</v>
      </c>
      <c r="J63" s="12" t="s">
        <v>621</v>
      </c>
      <c r="K63" s="12" t="s">
        <v>622</v>
      </c>
      <c r="L63" s="12" t="s">
        <v>623</v>
      </c>
      <c r="M63" s="3"/>
    </row>
    <row r="64" ht="57.75" customHeight="1">
      <c r="A64" s="12" t="s">
        <v>107</v>
      </c>
      <c r="B64" s="12" t="s">
        <v>109</v>
      </c>
      <c r="C64" s="12" t="s">
        <v>203</v>
      </c>
      <c r="D64" s="12">
        <v>12.0</v>
      </c>
      <c r="E64" s="12" t="s">
        <v>200</v>
      </c>
      <c r="F64" s="12" t="s">
        <v>624</v>
      </c>
      <c r="G64" s="12" t="s">
        <v>625</v>
      </c>
      <c r="H64" s="12" t="s">
        <v>626</v>
      </c>
      <c r="I64" s="12" t="s">
        <v>627</v>
      </c>
      <c r="J64" s="12" t="s">
        <v>628</v>
      </c>
      <c r="K64" s="12" t="s">
        <v>629</v>
      </c>
      <c r="L64" s="12" t="s">
        <v>630</v>
      </c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2">
    <mergeCell ref="A1:L1"/>
    <mergeCell ref="A2:L2"/>
  </mergeCell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15.0"/>
    <col customWidth="1" min="3" max="3" width="26.0"/>
    <col customWidth="1" min="4" max="4" width="35.0"/>
    <col customWidth="1" min="5" max="5" width="34.0"/>
    <col customWidth="1" min="6" max="6" width="36.0"/>
    <col customWidth="1" min="7" max="7" width="45.0"/>
    <col customWidth="1" min="8" max="8" width="38.0"/>
    <col customWidth="1" min="9" max="9" width="33.0"/>
    <col customWidth="1" min="10" max="10" width="31.0"/>
    <col customWidth="1" min="11" max="11" width="35.0"/>
    <col customWidth="1" min="12" max="12" width="36.0"/>
    <col customWidth="1" min="13" max="13" width="40.0"/>
    <col customWidth="1" min="14" max="26" width="8.63"/>
  </cols>
  <sheetData>
    <row r="1" ht="30.0" customHeight="1">
      <c r="A1" s="4" t="s">
        <v>3</v>
      </c>
    </row>
    <row r="2" ht="27.75" customHeight="1">
      <c r="A2" s="6" t="s">
        <v>6</v>
      </c>
    </row>
    <row r="3" ht="36.0" customHeight="1">
      <c r="A3" s="7" t="s">
        <v>7</v>
      </c>
      <c r="C3" s="8" t="s">
        <v>8</v>
      </c>
    </row>
    <row r="4" ht="36.0" customHeight="1">
      <c r="A4" s="7" t="s">
        <v>14</v>
      </c>
      <c r="C4" s="8" t="s">
        <v>17</v>
      </c>
    </row>
    <row r="5" ht="36.0" customHeight="1">
      <c r="A5" s="7" t="s">
        <v>26</v>
      </c>
      <c r="C5" s="8" t="s">
        <v>32</v>
      </c>
    </row>
    <row r="6" ht="36.0" customHeight="1">
      <c r="A6" s="7" t="s">
        <v>19</v>
      </c>
      <c r="C6" s="8" t="s">
        <v>35</v>
      </c>
    </row>
    <row r="7" ht="36.0" customHeight="1">
      <c r="A7" s="7" t="s">
        <v>25</v>
      </c>
      <c r="C7" s="13" t="s">
        <v>42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ht="36.0" customHeight="1">
      <c r="A9" s="14" t="s">
        <v>15</v>
      </c>
      <c r="B9" s="14" t="s">
        <v>16</v>
      </c>
      <c r="C9" s="14" t="s">
        <v>18</v>
      </c>
      <c r="D9" s="14" t="s">
        <v>60</v>
      </c>
      <c r="E9" s="14" t="s">
        <v>61</v>
      </c>
      <c r="F9" s="14" t="s">
        <v>63</v>
      </c>
      <c r="G9" s="14" t="s">
        <v>66</v>
      </c>
      <c r="H9" s="14" t="s">
        <v>69</v>
      </c>
      <c r="I9" s="14" t="s">
        <v>71</v>
      </c>
      <c r="J9" s="14" t="s">
        <v>74</v>
      </c>
      <c r="K9" s="14" t="s">
        <v>75</v>
      </c>
      <c r="L9" s="14" t="s">
        <v>78</v>
      </c>
      <c r="M9" s="14" t="s">
        <v>81</v>
      </c>
    </row>
    <row r="10" ht="78.0" customHeight="1">
      <c r="A10" s="15">
        <v>1.0</v>
      </c>
      <c r="B10" s="16" t="s">
        <v>37</v>
      </c>
      <c r="C10" s="16" t="s">
        <v>38</v>
      </c>
      <c r="D10" s="16" t="s">
        <v>40</v>
      </c>
      <c r="E10" s="16" t="s">
        <v>95</v>
      </c>
      <c r="F10" s="16" t="s">
        <v>97</v>
      </c>
      <c r="G10" s="16" t="s">
        <v>43</v>
      </c>
      <c r="H10" s="16" t="s">
        <v>44</v>
      </c>
      <c r="I10" s="16" t="s">
        <v>101</v>
      </c>
      <c r="J10" s="16" t="s">
        <v>45</v>
      </c>
      <c r="K10" s="16" t="s">
        <v>46</v>
      </c>
      <c r="L10" s="16" t="s">
        <v>105</v>
      </c>
      <c r="M10" s="16" t="s">
        <v>47</v>
      </c>
    </row>
    <row r="11" ht="78.0" customHeight="1">
      <c r="A11" s="15">
        <v>2.0</v>
      </c>
      <c r="B11" s="17" t="s">
        <v>37</v>
      </c>
      <c r="C11" s="17" t="s">
        <v>49</v>
      </c>
      <c r="D11" s="17" t="s">
        <v>51</v>
      </c>
      <c r="E11" s="17" t="s">
        <v>116</v>
      </c>
      <c r="F11" s="17" t="s">
        <v>118</v>
      </c>
      <c r="G11" s="17" t="s">
        <v>53</v>
      </c>
      <c r="H11" s="17" t="s">
        <v>54</v>
      </c>
      <c r="I11" s="17" t="s">
        <v>122</v>
      </c>
      <c r="J11" s="17" t="s">
        <v>55</v>
      </c>
      <c r="K11" s="17" t="s">
        <v>56</v>
      </c>
      <c r="L11" s="17" t="s">
        <v>126</v>
      </c>
      <c r="M11" s="17" t="s">
        <v>58</v>
      </c>
    </row>
    <row r="12" ht="78.0" customHeight="1">
      <c r="A12" s="15">
        <v>3.0</v>
      </c>
      <c r="B12" s="16" t="s">
        <v>37</v>
      </c>
      <c r="C12" s="16" t="s">
        <v>62</v>
      </c>
      <c r="D12" s="16" t="s">
        <v>64</v>
      </c>
      <c r="E12" s="16" t="s">
        <v>135</v>
      </c>
      <c r="F12" s="16" t="s">
        <v>137</v>
      </c>
      <c r="G12" s="16" t="s">
        <v>67</v>
      </c>
      <c r="H12" s="16" t="s">
        <v>70</v>
      </c>
      <c r="I12" s="16" t="s">
        <v>141</v>
      </c>
      <c r="J12" s="16" t="s">
        <v>72</v>
      </c>
      <c r="K12" s="16" t="s">
        <v>76</v>
      </c>
      <c r="L12" s="16" t="s">
        <v>142</v>
      </c>
      <c r="M12" s="16" t="s">
        <v>80</v>
      </c>
    </row>
    <row r="13" ht="78.0" customHeight="1">
      <c r="A13" s="15">
        <v>4.0</v>
      </c>
      <c r="B13" s="17" t="s">
        <v>37</v>
      </c>
      <c r="C13" s="17" t="s">
        <v>85</v>
      </c>
      <c r="D13" s="17" t="s">
        <v>86</v>
      </c>
      <c r="E13" s="17" t="s">
        <v>151</v>
      </c>
      <c r="F13" s="17" t="s">
        <v>152</v>
      </c>
      <c r="G13" s="17" t="s">
        <v>87</v>
      </c>
      <c r="H13" s="17" t="s">
        <v>88</v>
      </c>
      <c r="I13" s="17" t="s">
        <v>157</v>
      </c>
      <c r="J13" s="17" t="s">
        <v>90</v>
      </c>
      <c r="K13" s="17" t="s">
        <v>92</v>
      </c>
      <c r="L13" s="17" t="s">
        <v>165</v>
      </c>
      <c r="M13" s="17" t="s">
        <v>94</v>
      </c>
    </row>
    <row r="14" ht="78.0" customHeight="1">
      <c r="A14" s="15">
        <v>5.0</v>
      </c>
      <c r="B14" s="16" t="s">
        <v>99</v>
      </c>
      <c r="C14" s="16" t="s">
        <v>100</v>
      </c>
      <c r="D14" s="16" t="s">
        <v>102</v>
      </c>
      <c r="E14" s="16" t="s">
        <v>172</v>
      </c>
      <c r="F14" s="16" t="s">
        <v>175</v>
      </c>
      <c r="G14" s="16" t="s">
        <v>103</v>
      </c>
      <c r="H14" s="16" t="s">
        <v>104</v>
      </c>
      <c r="I14" s="16" t="s">
        <v>181</v>
      </c>
      <c r="J14" s="16" t="s">
        <v>106</v>
      </c>
      <c r="K14" s="16" t="s">
        <v>108</v>
      </c>
      <c r="L14" s="16" t="s">
        <v>183</v>
      </c>
      <c r="M14" s="16" t="s">
        <v>110</v>
      </c>
    </row>
    <row r="15" ht="78.0" customHeight="1">
      <c r="A15" s="15">
        <v>6.0</v>
      </c>
      <c r="B15" s="17" t="s">
        <v>37</v>
      </c>
      <c r="C15" s="17" t="s">
        <v>115</v>
      </c>
      <c r="D15" s="17" t="s">
        <v>117</v>
      </c>
      <c r="E15" s="17" t="s">
        <v>193</v>
      </c>
      <c r="F15" s="17" t="s">
        <v>196</v>
      </c>
      <c r="G15" s="17" t="s">
        <v>119</v>
      </c>
      <c r="H15" s="17" t="s">
        <v>120</v>
      </c>
      <c r="I15" s="17" t="s">
        <v>199</v>
      </c>
      <c r="J15" s="17" t="s">
        <v>121</v>
      </c>
      <c r="K15" s="17" t="s">
        <v>123</v>
      </c>
      <c r="L15" s="17" t="s">
        <v>206</v>
      </c>
      <c r="M15" s="17" t="s">
        <v>124</v>
      </c>
    </row>
    <row r="16" ht="78.0" customHeight="1">
      <c r="A16" s="15">
        <v>7.0</v>
      </c>
      <c r="B16" s="16" t="s">
        <v>129</v>
      </c>
      <c r="C16" s="16" t="s">
        <v>131</v>
      </c>
      <c r="D16" s="16" t="s">
        <v>132</v>
      </c>
      <c r="E16" s="16" t="s">
        <v>215</v>
      </c>
      <c r="F16" s="16" t="s">
        <v>216</v>
      </c>
      <c r="G16" s="16" t="s">
        <v>133</v>
      </c>
      <c r="H16" s="16" t="s">
        <v>134</v>
      </c>
      <c r="I16" s="16" t="s">
        <v>223</v>
      </c>
      <c r="J16" s="16" t="s">
        <v>136</v>
      </c>
      <c r="K16" s="16" t="s">
        <v>138</v>
      </c>
      <c r="L16" s="16" t="s">
        <v>226</v>
      </c>
      <c r="M16" s="16" t="s">
        <v>139</v>
      </c>
    </row>
    <row r="17" ht="78.0" customHeight="1">
      <c r="A17" s="15">
        <v>8.0</v>
      </c>
      <c r="B17" s="17" t="s">
        <v>99</v>
      </c>
      <c r="C17" s="17" t="s">
        <v>144</v>
      </c>
      <c r="D17" s="17" t="s">
        <v>145</v>
      </c>
      <c r="E17" s="17" t="s">
        <v>234</v>
      </c>
      <c r="F17" s="17" t="s">
        <v>236</v>
      </c>
      <c r="G17" s="17" t="s">
        <v>146</v>
      </c>
      <c r="H17" s="17" t="s">
        <v>147</v>
      </c>
      <c r="I17" s="17" t="s">
        <v>237</v>
      </c>
      <c r="J17" s="17" t="s">
        <v>148</v>
      </c>
      <c r="K17" s="17" t="s">
        <v>149</v>
      </c>
      <c r="L17" s="17" t="s">
        <v>241</v>
      </c>
      <c r="M17" s="17" t="s">
        <v>150</v>
      </c>
    </row>
    <row r="18" ht="78.0" customHeight="1">
      <c r="A18" s="15">
        <v>9.0</v>
      </c>
      <c r="B18" s="21" t="s">
        <v>153</v>
      </c>
      <c r="C18" s="21" t="s">
        <v>154</v>
      </c>
      <c r="D18" s="21" t="s">
        <v>156</v>
      </c>
      <c r="E18" s="21" t="s">
        <v>251</v>
      </c>
      <c r="F18" s="21" t="s">
        <v>253</v>
      </c>
      <c r="G18" s="21" t="s">
        <v>159</v>
      </c>
      <c r="H18" s="21" t="s">
        <v>161</v>
      </c>
      <c r="I18" s="21" t="s">
        <v>257</v>
      </c>
      <c r="J18" s="21" t="s">
        <v>162</v>
      </c>
      <c r="K18" s="21" t="s">
        <v>164</v>
      </c>
      <c r="L18" s="21" t="s">
        <v>260</v>
      </c>
      <c r="M18" s="21" t="s">
        <v>166</v>
      </c>
    </row>
    <row r="19" ht="78.0" customHeight="1">
      <c r="A19" s="15">
        <v>10.0</v>
      </c>
      <c r="B19" s="17" t="s">
        <v>129</v>
      </c>
      <c r="C19" s="17" t="s">
        <v>169</v>
      </c>
      <c r="D19" s="17" t="s">
        <v>170</v>
      </c>
      <c r="E19" s="17" t="s">
        <v>266</v>
      </c>
      <c r="F19" s="17" t="s">
        <v>268</v>
      </c>
      <c r="G19" s="17" t="s">
        <v>171</v>
      </c>
      <c r="H19" s="17" t="s">
        <v>174</v>
      </c>
      <c r="I19" s="17" t="s">
        <v>271</v>
      </c>
      <c r="J19" s="17" t="s">
        <v>176</v>
      </c>
      <c r="K19" s="17" t="s">
        <v>178</v>
      </c>
      <c r="L19" s="17" t="s">
        <v>275</v>
      </c>
      <c r="M19" s="17" t="s">
        <v>180</v>
      </c>
    </row>
    <row r="20" ht="78.0" customHeight="1">
      <c r="A20" s="15">
        <v>11.0</v>
      </c>
      <c r="B20" s="21" t="s">
        <v>153</v>
      </c>
      <c r="C20" s="21" t="s">
        <v>185</v>
      </c>
      <c r="D20" s="21" t="s">
        <v>187</v>
      </c>
      <c r="E20" s="21" t="s">
        <v>287</v>
      </c>
      <c r="F20" s="21" t="s">
        <v>288</v>
      </c>
      <c r="G20" s="21" t="s">
        <v>188</v>
      </c>
      <c r="H20" s="21" t="s">
        <v>190</v>
      </c>
      <c r="I20" s="21" t="s">
        <v>294</v>
      </c>
      <c r="J20" s="21" t="s">
        <v>192</v>
      </c>
      <c r="K20" s="21" t="s">
        <v>195</v>
      </c>
      <c r="L20" s="21" t="s">
        <v>301</v>
      </c>
      <c r="M20" s="21" t="s">
        <v>197</v>
      </c>
    </row>
    <row r="21" ht="78.0" customHeight="1">
      <c r="A21" s="15">
        <v>12.0</v>
      </c>
      <c r="B21" s="24" t="s">
        <v>200</v>
      </c>
      <c r="C21" s="24" t="s">
        <v>202</v>
      </c>
      <c r="D21" s="24" t="s">
        <v>204</v>
      </c>
      <c r="E21" s="24" t="s">
        <v>322</v>
      </c>
      <c r="F21" s="24" t="s">
        <v>323</v>
      </c>
      <c r="G21" s="24" t="s">
        <v>205</v>
      </c>
      <c r="H21" s="24" t="s">
        <v>208</v>
      </c>
      <c r="I21" s="24" t="s">
        <v>326</v>
      </c>
      <c r="J21" s="24" t="s">
        <v>210</v>
      </c>
      <c r="K21" s="24" t="s">
        <v>212</v>
      </c>
      <c r="L21" s="24" t="s">
        <v>332</v>
      </c>
      <c r="M21" s="24" t="s">
        <v>213</v>
      </c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5:B5"/>
    <mergeCell ref="A6:B6"/>
    <mergeCell ref="A7:B7"/>
    <mergeCell ref="C6:M6"/>
    <mergeCell ref="C7:M7"/>
    <mergeCell ref="A1:M1"/>
    <mergeCell ref="A2:M2"/>
    <mergeCell ref="A3:B3"/>
    <mergeCell ref="C3:M3"/>
    <mergeCell ref="A4:B4"/>
    <mergeCell ref="C4:M4"/>
    <mergeCell ref="C5:M5"/>
  </mergeCell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15.0"/>
    <col customWidth="1" min="3" max="3" width="26.0"/>
    <col customWidth="1" min="4" max="4" width="35.0"/>
    <col customWidth="1" min="5" max="5" width="34.0"/>
    <col customWidth="1" min="6" max="6" width="36.0"/>
    <col customWidth="1" min="7" max="7" width="45.0"/>
    <col customWidth="1" min="8" max="8" width="38.0"/>
    <col customWidth="1" min="9" max="9" width="33.0"/>
    <col customWidth="1" min="10" max="10" width="31.0"/>
    <col customWidth="1" min="11" max="11" width="35.0"/>
    <col customWidth="1" min="12" max="12" width="36.0"/>
    <col customWidth="1" min="13" max="13" width="40.0"/>
    <col customWidth="1" min="14" max="26" width="8.63"/>
  </cols>
  <sheetData>
    <row r="1" ht="30.0" customHeight="1">
      <c r="A1" s="4" t="s">
        <v>631</v>
      </c>
    </row>
    <row r="2" ht="27.75" customHeight="1">
      <c r="A2" s="6" t="s">
        <v>632</v>
      </c>
    </row>
    <row r="3" ht="36.0" customHeight="1">
      <c r="A3" s="7" t="s">
        <v>7</v>
      </c>
      <c r="C3" s="8" t="s">
        <v>155</v>
      </c>
    </row>
    <row r="4" ht="36.0" customHeight="1">
      <c r="A4" s="7" t="s">
        <v>14</v>
      </c>
      <c r="C4" s="8" t="s">
        <v>160</v>
      </c>
    </row>
    <row r="5" ht="36.0" customHeight="1">
      <c r="A5" s="7" t="s">
        <v>26</v>
      </c>
      <c r="C5" s="25" t="s">
        <v>163</v>
      </c>
    </row>
    <row r="6" ht="36.0" customHeight="1">
      <c r="A6" s="7" t="s">
        <v>19</v>
      </c>
      <c r="C6" s="8" t="s">
        <v>52</v>
      </c>
    </row>
    <row r="7" ht="36.0" customHeight="1">
      <c r="A7" s="7" t="s">
        <v>25</v>
      </c>
      <c r="C7" s="13" t="s">
        <v>59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ht="36.0" customHeight="1">
      <c r="A9" s="14" t="s">
        <v>15</v>
      </c>
      <c r="B9" s="14" t="s">
        <v>16</v>
      </c>
      <c r="C9" s="14" t="s">
        <v>18</v>
      </c>
      <c r="D9" s="14" t="s">
        <v>60</v>
      </c>
      <c r="E9" s="14" t="s">
        <v>61</v>
      </c>
      <c r="F9" s="14" t="s">
        <v>63</v>
      </c>
      <c r="G9" s="14" t="s">
        <v>66</v>
      </c>
      <c r="H9" s="14" t="s">
        <v>69</v>
      </c>
      <c r="I9" s="14" t="s">
        <v>71</v>
      </c>
      <c r="J9" s="14" t="s">
        <v>74</v>
      </c>
      <c r="K9" s="14" t="s">
        <v>75</v>
      </c>
      <c r="L9" s="14" t="s">
        <v>78</v>
      </c>
      <c r="M9" s="14" t="s">
        <v>81</v>
      </c>
    </row>
    <row r="10" ht="78.0" customHeight="1">
      <c r="A10" s="15">
        <v>1.0</v>
      </c>
      <c r="B10" s="16" t="s">
        <v>37</v>
      </c>
      <c r="C10" s="16" t="s">
        <v>217</v>
      </c>
      <c r="D10" s="16" t="s">
        <v>218</v>
      </c>
      <c r="E10" s="16" t="s">
        <v>633</v>
      </c>
      <c r="F10" s="16" t="s">
        <v>634</v>
      </c>
      <c r="G10" s="16" t="s">
        <v>219</v>
      </c>
      <c r="H10" s="16" t="s">
        <v>221</v>
      </c>
      <c r="I10" s="16" t="s">
        <v>635</v>
      </c>
      <c r="J10" s="16" t="s">
        <v>222</v>
      </c>
      <c r="K10" s="16" t="s">
        <v>224</v>
      </c>
      <c r="L10" s="16" t="s">
        <v>636</v>
      </c>
      <c r="M10" s="16" t="s">
        <v>225</v>
      </c>
    </row>
    <row r="11" ht="78.0" customHeight="1">
      <c r="A11" s="15">
        <v>2.0</v>
      </c>
      <c r="B11" s="17" t="s">
        <v>37</v>
      </c>
      <c r="C11" s="17" t="s">
        <v>227</v>
      </c>
      <c r="D11" s="17" t="s">
        <v>229</v>
      </c>
      <c r="E11" s="17" t="s">
        <v>637</v>
      </c>
      <c r="F11" s="17" t="s">
        <v>638</v>
      </c>
      <c r="G11" s="17" t="s">
        <v>230</v>
      </c>
      <c r="H11" s="17" t="s">
        <v>231</v>
      </c>
      <c r="I11" s="17" t="s">
        <v>639</v>
      </c>
      <c r="J11" s="17" t="s">
        <v>232</v>
      </c>
      <c r="K11" s="17" t="s">
        <v>233</v>
      </c>
      <c r="L11" s="17" t="s">
        <v>640</v>
      </c>
      <c r="M11" s="17" t="s">
        <v>235</v>
      </c>
    </row>
    <row r="12" ht="78.0" customHeight="1">
      <c r="A12" s="15">
        <v>3.0</v>
      </c>
      <c r="B12" s="26" t="s">
        <v>238</v>
      </c>
      <c r="C12" s="26" t="s">
        <v>239</v>
      </c>
      <c r="D12" s="26" t="s">
        <v>240</v>
      </c>
      <c r="E12" s="26" t="s">
        <v>641</v>
      </c>
      <c r="F12" s="26" t="s">
        <v>642</v>
      </c>
      <c r="G12" s="26" t="s">
        <v>242</v>
      </c>
      <c r="H12" s="26" t="s">
        <v>243</v>
      </c>
      <c r="I12" s="26" t="s">
        <v>643</v>
      </c>
      <c r="J12" s="26" t="s">
        <v>244</v>
      </c>
      <c r="K12" s="26" t="s">
        <v>245</v>
      </c>
      <c r="L12" s="26" t="s">
        <v>644</v>
      </c>
      <c r="M12" s="26" t="s">
        <v>246</v>
      </c>
    </row>
    <row r="13" ht="78.0" customHeight="1">
      <c r="A13" s="15">
        <v>4.0</v>
      </c>
      <c r="B13" s="26" t="s">
        <v>238</v>
      </c>
      <c r="C13" s="26" t="s">
        <v>248</v>
      </c>
      <c r="D13" s="26" t="s">
        <v>249</v>
      </c>
      <c r="E13" s="26" t="s">
        <v>645</v>
      </c>
      <c r="F13" s="26" t="s">
        <v>646</v>
      </c>
      <c r="G13" s="26" t="s">
        <v>250</v>
      </c>
      <c r="H13" s="26" t="s">
        <v>252</v>
      </c>
      <c r="I13" s="26" t="s">
        <v>647</v>
      </c>
      <c r="J13" s="26" t="s">
        <v>254</v>
      </c>
      <c r="K13" s="26" t="s">
        <v>255</v>
      </c>
      <c r="L13" s="26" t="s">
        <v>648</v>
      </c>
      <c r="M13" s="26" t="s">
        <v>256</v>
      </c>
    </row>
    <row r="14" ht="78.0" customHeight="1">
      <c r="A14" s="15">
        <v>5.0</v>
      </c>
      <c r="B14" s="26" t="s">
        <v>238</v>
      </c>
      <c r="C14" s="26" t="s">
        <v>261</v>
      </c>
      <c r="D14" s="26" t="s">
        <v>262</v>
      </c>
      <c r="E14" s="26" t="s">
        <v>649</v>
      </c>
      <c r="F14" s="26" t="s">
        <v>650</v>
      </c>
      <c r="G14" s="26" t="s">
        <v>263</v>
      </c>
      <c r="H14" s="26" t="s">
        <v>264</v>
      </c>
      <c r="I14" s="26" t="s">
        <v>651</v>
      </c>
      <c r="J14" s="26" t="s">
        <v>265</v>
      </c>
      <c r="K14" s="26" t="s">
        <v>267</v>
      </c>
      <c r="L14" s="26" t="s">
        <v>652</v>
      </c>
      <c r="M14" s="26" t="s">
        <v>269</v>
      </c>
    </row>
    <row r="15" ht="78.0" customHeight="1">
      <c r="A15" s="15">
        <v>6.0</v>
      </c>
      <c r="B15" s="26" t="s">
        <v>238</v>
      </c>
      <c r="C15" s="26" t="s">
        <v>273</v>
      </c>
      <c r="D15" s="26" t="s">
        <v>276</v>
      </c>
      <c r="E15" s="26" t="s">
        <v>653</v>
      </c>
      <c r="F15" s="26" t="s">
        <v>654</v>
      </c>
      <c r="G15" s="26" t="s">
        <v>279</v>
      </c>
      <c r="H15" s="26" t="s">
        <v>280</v>
      </c>
      <c r="I15" s="26" t="s">
        <v>655</v>
      </c>
      <c r="J15" s="26" t="s">
        <v>282</v>
      </c>
      <c r="K15" s="26" t="s">
        <v>284</v>
      </c>
      <c r="L15" s="26" t="s">
        <v>656</v>
      </c>
      <c r="M15" s="26" t="s">
        <v>286</v>
      </c>
    </row>
    <row r="16" ht="78.0" customHeight="1">
      <c r="A16" s="15">
        <v>7.0</v>
      </c>
      <c r="B16" s="26" t="s">
        <v>238</v>
      </c>
      <c r="C16" s="26" t="s">
        <v>291</v>
      </c>
      <c r="D16" s="26" t="s">
        <v>293</v>
      </c>
      <c r="E16" s="26" t="s">
        <v>657</v>
      </c>
      <c r="F16" s="26" t="s">
        <v>658</v>
      </c>
      <c r="G16" s="26" t="s">
        <v>296</v>
      </c>
      <c r="H16" s="26" t="s">
        <v>298</v>
      </c>
      <c r="I16" s="26" t="s">
        <v>659</v>
      </c>
      <c r="J16" s="26" t="s">
        <v>299</v>
      </c>
      <c r="K16" s="26" t="s">
        <v>302</v>
      </c>
      <c r="L16" s="26" t="s">
        <v>660</v>
      </c>
      <c r="M16" s="26" t="s">
        <v>304</v>
      </c>
    </row>
    <row r="17" ht="78.0" customHeight="1">
      <c r="A17" s="15">
        <v>8.0</v>
      </c>
      <c r="B17" s="17" t="s">
        <v>307</v>
      </c>
      <c r="C17" s="17" t="s">
        <v>309</v>
      </c>
      <c r="D17" s="17" t="s">
        <v>311</v>
      </c>
      <c r="E17" s="17" t="s">
        <v>661</v>
      </c>
      <c r="F17" s="17" t="s">
        <v>662</v>
      </c>
      <c r="G17" s="17" t="s">
        <v>313</v>
      </c>
      <c r="H17" s="17" t="s">
        <v>315</v>
      </c>
      <c r="I17" s="17" t="s">
        <v>663</v>
      </c>
      <c r="J17" s="17" t="s">
        <v>317</v>
      </c>
      <c r="K17" s="17" t="s">
        <v>318</v>
      </c>
      <c r="L17" s="17" t="s">
        <v>664</v>
      </c>
      <c r="M17" s="17" t="s">
        <v>320</v>
      </c>
    </row>
    <row r="18" ht="78.0" customHeight="1">
      <c r="A18" s="15">
        <v>9.0</v>
      </c>
      <c r="B18" s="16" t="s">
        <v>307</v>
      </c>
      <c r="C18" s="16" t="s">
        <v>325</v>
      </c>
      <c r="D18" s="16" t="s">
        <v>328</v>
      </c>
      <c r="E18" s="16" t="s">
        <v>665</v>
      </c>
      <c r="F18" s="16" t="s">
        <v>666</v>
      </c>
      <c r="G18" s="16" t="s">
        <v>330</v>
      </c>
      <c r="H18" s="16" t="s">
        <v>331</v>
      </c>
      <c r="I18" s="16" t="s">
        <v>667</v>
      </c>
      <c r="J18" s="16" t="s">
        <v>334</v>
      </c>
      <c r="K18" s="16" t="s">
        <v>336</v>
      </c>
      <c r="L18" s="16" t="s">
        <v>668</v>
      </c>
      <c r="M18" s="16" t="s">
        <v>338</v>
      </c>
    </row>
    <row r="19" ht="78.0" customHeight="1">
      <c r="A19" s="15">
        <v>10.0</v>
      </c>
      <c r="B19" s="17" t="s">
        <v>339</v>
      </c>
      <c r="C19" s="17" t="s">
        <v>340</v>
      </c>
      <c r="D19" s="17" t="s">
        <v>341</v>
      </c>
      <c r="E19" s="17" t="s">
        <v>669</v>
      </c>
      <c r="F19" s="17" t="s">
        <v>670</v>
      </c>
      <c r="G19" s="17" t="s">
        <v>342</v>
      </c>
      <c r="H19" s="17" t="s">
        <v>343</v>
      </c>
      <c r="I19" s="17" t="s">
        <v>671</v>
      </c>
      <c r="J19" s="17" t="s">
        <v>344</v>
      </c>
      <c r="K19" s="17" t="s">
        <v>345</v>
      </c>
      <c r="L19" s="17" t="s">
        <v>672</v>
      </c>
      <c r="M19" s="17" t="s">
        <v>346</v>
      </c>
    </row>
    <row r="20" ht="78.0" customHeight="1">
      <c r="A20" s="15">
        <v>11.0</v>
      </c>
      <c r="B20" s="26" t="s">
        <v>347</v>
      </c>
      <c r="C20" s="26" t="s">
        <v>348</v>
      </c>
      <c r="D20" s="26" t="s">
        <v>349</v>
      </c>
      <c r="E20" s="26" t="s">
        <v>673</v>
      </c>
      <c r="F20" s="26" t="s">
        <v>674</v>
      </c>
      <c r="G20" s="26" t="s">
        <v>350</v>
      </c>
      <c r="H20" s="26" t="s">
        <v>351</v>
      </c>
      <c r="I20" s="26" t="s">
        <v>676</v>
      </c>
      <c r="J20" s="26" t="s">
        <v>352</v>
      </c>
      <c r="K20" s="26" t="s">
        <v>353</v>
      </c>
      <c r="L20" s="26" t="s">
        <v>677</v>
      </c>
      <c r="M20" s="26" t="s">
        <v>354</v>
      </c>
    </row>
    <row r="21" ht="78.0" customHeight="1">
      <c r="A21" s="15">
        <v>12.0</v>
      </c>
      <c r="B21" s="17" t="s">
        <v>355</v>
      </c>
      <c r="C21" s="17" t="s">
        <v>356</v>
      </c>
      <c r="D21" s="17" t="s">
        <v>357</v>
      </c>
      <c r="E21" s="17" t="s">
        <v>679</v>
      </c>
      <c r="F21" s="17" t="s">
        <v>680</v>
      </c>
      <c r="G21" s="17" t="s">
        <v>358</v>
      </c>
      <c r="H21" s="17" t="s">
        <v>359</v>
      </c>
      <c r="I21" s="17" t="s">
        <v>681</v>
      </c>
      <c r="J21" s="17" t="s">
        <v>360</v>
      </c>
      <c r="K21" s="17" t="s">
        <v>361</v>
      </c>
      <c r="L21" s="17" t="s">
        <v>683</v>
      </c>
      <c r="M21" s="17" t="s">
        <v>362</v>
      </c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5:B5"/>
    <mergeCell ref="A6:B6"/>
    <mergeCell ref="A7:B7"/>
    <mergeCell ref="C6:M6"/>
    <mergeCell ref="C7:M7"/>
    <mergeCell ref="A1:M1"/>
    <mergeCell ref="A2:M2"/>
    <mergeCell ref="A3:B3"/>
    <mergeCell ref="C3:M3"/>
    <mergeCell ref="A4:B4"/>
    <mergeCell ref="C4:M4"/>
    <mergeCell ref="C5:M5"/>
  </mergeCell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15.0"/>
    <col customWidth="1" min="3" max="3" width="26.0"/>
    <col customWidth="1" min="4" max="4" width="35.0"/>
    <col customWidth="1" min="5" max="5" width="34.0"/>
    <col customWidth="1" min="6" max="6" width="36.0"/>
    <col customWidth="1" min="7" max="7" width="45.0"/>
    <col customWidth="1" min="8" max="8" width="38.0"/>
    <col customWidth="1" min="9" max="9" width="33.0"/>
    <col customWidth="1" min="10" max="10" width="31.0"/>
    <col customWidth="1" min="11" max="11" width="35.0"/>
    <col customWidth="1" min="12" max="12" width="36.0"/>
    <col customWidth="1" min="13" max="13" width="40.0"/>
    <col customWidth="1" min="14" max="26" width="8.63"/>
  </cols>
  <sheetData>
    <row r="1" ht="30.0" customHeight="1">
      <c r="A1" s="4" t="s">
        <v>675</v>
      </c>
    </row>
    <row r="2" ht="27.75" customHeight="1">
      <c r="A2" s="6" t="s">
        <v>678</v>
      </c>
    </row>
    <row r="3" ht="36.0" customHeight="1">
      <c r="A3" s="7" t="s">
        <v>7</v>
      </c>
      <c r="C3" s="8" t="s">
        <v>173</v>
      </c>
    </row>
    <row r="4" ht="36.0" customHeight="1">
      <c r="A4" s="7" t="s">
        <v>14</v>
      </c>
      <c r="C4" s="8" t="s">
        <v>179</v>
      </c>
    </row>
    <row r="5" ht="36.0" customHeight="1">
      <c r="A5" s="7" t="s">
        <v>26</v>
      </c>
      <c r="C5" s="8" t="s">
        <v>182</v>
      </c>
    </row>
    <row r="6" ht="36.0" customHeight="1">
      <c r="A6" s="7" t="s">
        <v>19</v>
      </c>
      <c r="C6" s="8" t="s">
        <v>73</v>
      </c>
    </row>
    <row r="7" ht="36.0" customHeight="1">
      <c r="A7" s="7" t="s">
        <v>25</v>
      </c>
      <c r="C7" s="13" t="s">
        <v>84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ht="36.0" customHeight="1">
      <c r="A9" s="14" t="s">
        <v>15</v>
      </c>
      <c r="B9" s="14" t="s">
        <v>16</v>
      </c>
      <c r="C9" s="14" t="s">
        <v>18</v>
      </c>
      <c r="D9" s="14" t="s">
        <v>60</v>
      </c>
      <c r="E9" s="14" t="s">
        <v>61</v>
      </c>
      <c r="F9" s="14" t="s">
        <v>63</v>
      </c>
      <c r="G9" s="14" t="s">
        <v>66</v>
      </c>
      <c r="H9" s="14" t="s">
        <v>69</v>
      </c>
      <c r="I9" s="14" t="s">
        <v>71</v>
      </c>
      <c r="J9" s="14" t="s">
        <v>74</v>
      </c>
      <c r="K9" s="14" t="s">
        <v>75</v>
      </c>
      <c r="L9" s="14" t="s">
        <v>78</v>
      </c>
      <c r="M9" s="14" t="s">
        <v>81</v>
      </c>
    </row>
    <row r="10" ht="78.0" customHeight="1">
      <c r="A10" s="15">
        <v>1.0</v>
      </c>
      <c r="B10" s="26" t="s">
        <v>363</v>
      </c>
      <c r="C10" s="26" t="s">
        <v>364</v>
      </c>
      <c r="D10" s="26" t="s">
        <v>365</v>
      </c>
      <c r="E10" s="26" t="s">
        <v>688</v>
      </c>
      <c r="F10" s="26" t="s">
        <v>689</v>
      </c>
      <c r="G10" s="26" t="s">
        <v>366</v>
      </c>
      <c r="H10" s="26" t="s">
        <v>367</v>
      </c>
      <c r="I10" s="26" t="s">
        <v>691</v>
      </c>
      <c r="J10" s="26" t="s">
        <v>368</v>
      </c>
      <c r="K10" s="26" t="s">
        <v>369</v>
      </c>
      <c r="L10" s="26" t="s">
        <v>692</v>
      </c>
      <c r="M10" s="26" t="s">
        <v>370</v>
      </c>
    </row>
    <row r="11" ht="78.0" customHeight="1">
      <c r="A11" s="15">
        <v>2.0</v>
      </c>
      <c r="B11" s="26" t="s">
        <v>238</v>
      </c>
      <c r="C11" s="26" t="s">
        <v>371</v>
      </c>
      <c r="D11" s="26" t="s">
        <v>372</v>
      </c>
      <c r="E11" s="26" t="s">
        <v>697</v>
      </c>
      <c r="F11" s="26" t="s">
        <v>698</v>
      </c>
      <c r="G11" s="26" t="s">
        <v>373</v>
      </c>
      <c r="H11" s="26" t="s">
        <v>374</v>
      </c>
      <c r="I11" s="26" t="s">
        <v>699</v>
      </c>
      <c r="J11" s="26" t="s">
        <v>375</v>
      </c>
      <c r="K11" s="26" t="s">
        <v>376</v>
      </c>
      <c r="L11" s="26" t="s">
        <v>700</v>
      </c>
      <c r="M11" s="26" t="s">
        <v>377</v>
      </c>
    </row>
    <row r="12" ht="78.0" customHeight="1">
      <c r="A12" s="15">
        <v>3.0</v>
      </c>
      <c r="B12" s="26" t="s">
        <v>378</v>
      </c>
      <c r="C12" s="26" t="s">
        <v>379</v>
      </c>
      <c r="D12" s="26" t="s">
        <v>380</v>
      </c>
      <c r="E12" s="26" t="s">
        <v>704</v>
      </c>
      <c r="F12" s="26" t="s">
        <v>705</v>
      </c>
      <c r="G12" s="26" t="s">
        <v>381</v>
      </c>
      <c r="H12" s="26" t="s">
        <v>382</v>
      </c>
      <c r="I12" s="26" t="s">
        <v>707</v>
      </c>
      <c r="J12" s="26" t="s">
        <v>383</v>
      </c>
      <c r="K12" s="26" t="s">
        <v>384</v>
      </c>
      <c r="L12" s="26" t="s">
        <v>708</v>
      </c>
      <c r="M12" s="26" t="s">
        <v>385</v>
      </c>
    </row>
    <row r="13" ht="78.0" customHeight="1">
      <c r="A13" s="15">
        <v>4.0</v>
      </c>
      <c r="B13" s="13" t="s">
        <v>306</v>
      </c>
      <c r="C13" s="13" t="s">
        <v>386</v>
      </c>
      <c r="D13" s="13" t="s">
        <v>387</v>
      </c>
      <c r="E13" s="13" t="s">
        <v>712</v>
      </c>
      <c r="F13" s="13" t="s">
        <v>713</v>
      </c>
      <c r="G13" s="13" t="s">
        <v>388</v>
      </c>
      <c r="H13" s="13" t="s">
        <v>389</v>
      </c>
      <c r="I13" s="13" t="s">
        <v>715</v>
      </c>
      <c r="J13" s="13" t="s">
        <v>390</v>
      </c>
      <c r="K13" s="13" t="s">
        <v>391</v>
      </c>
      <c r="L13" s="13" t="s">
        <v>719</v>
      </c>
      <c r="M13" s="13" t="s">
        <v>392</v>
      </c>
    </row>
    <row r="14" ht="78.0" customHeight="1">
      <c r="A14" s="15">
        <v>5.0</v>
      </c>
      <c r="B14" s="26" t="s">
        <v>238</v>
      </c>
      <c r="C14" s="26" t="s">
        <v>393</v>
      </c>
      <c r="D14" s="26" t="s">
        <v>394</v>
      </c>
      <c r="E14" s="26" t="s">
        <v>721</v>
      </c>
      <c r="F14" s="26" t="s">
        <v>722</v>
      </c>
      <c r="G14" s="26" t="s">
        <v>395</v>
      </c>
      <c r="H14" s="26" t="s">
        <v>396</v>
      </c>
      <c r="I14" s="26" t="s">
        <v>724</v>
      </c>
      <c r="J14" s="26" t="s">
        <v>397</v>
      </c>
      <c r="K14" s="26" t="s">
        <v>398</v>
      </c>
      <c r="L14" s="26" t="s">
        <v>726</v>
      </c>
      <c r="M14" s="26" t="s">
        <v>399</v>
      </c>
    </row>
    <row r="15" ht="78.0" customHeight="1">
      <c r="A15" s="15">
        <v>6.0</v>
      </c>
      <c r="B15" s="17" t="s">
        <v>400</v>
      </c>
      <c r="C15" s="17" t="s">
        <v>401</v>
      </c>
      <c r="D15" s="17" t="s">
        <v>402</v>
      </c>
      <c r="E15" s="17" t="s">
        <v>729</v>
      </c>
      <c r="F15" s="17" t="s">
        <v>730</v>
      </c>
      <c r="G15" s="17" t="s">
        <v>403</v>
      </c>
      <c r="H15" s="17" t="s">
        <v>404</v>
      </c>
      <c r="I15" s="17" t="s">
        <v>734</v>
      </c>
      <c r="J15" s="17" t="s">
        <v>405</v>
      </c>
      <c r="K15" s="17" t="s">
        <v>406</v>
      </c>
      <c r="L15" s="17" t="s">
        <v>736</v>
      </c>
      <c r="M15" s="17" t="s">
        <v>407</v>
      </c>
    </row>
    <row r="16" ht="78.0" customHeight="1">
      <c r="A16" s="15">
        <v>7.0</v>
      </c>
      <c r="B16" s="21" t="s">
        <v>408</v>
      </c>
      <c r="C16" s="21" t="s">
        <v>409</v>
      </c>
      <c r="D16" s="21" t="s">
        <v>410</v>
      </c>
      <c r="E16" s="21" t="s">
        <v>739</v>
      </c>
      <c r="F16" s="21" t="s">
        <v>741</v>
      </c>
      <c r="G16" s="21" t="s">
        <v>411</v>
      </c>
      <c r="H16" s="21" t="s">
        <v>412</v>
      </c>
      <c r="I16" s="21" t="s">
        <v>743</v>
      </c>
      <c r="J16" s="21" t="s">
        <v>413</v>
      </c>
      <c r="K16" s="21" t="s">
        <v>414</v>
      </c>
      <c r="L16" s="21" t="s">
        <v>745</v>
      </c>
      <c r="M16" s="21" t="s">
        <v>415</v>
      </c>
    </row>
    <row r="17" ht="78.0" customHeight="1">
      <c r="A17" s="15">
        <v>8.0</v>
      </c>
      <c r="B17" s="26" t="s">
        <v>238</v>
      </c>
      <c r="C17" s="26" t="s">
        <v>416</v>
      </c>
      <c r="D17" s="26" t="s">
        <v>417</v>
      </c>
      <c r="E17" s="26" t="s">
        <v>748</v>
      </c>
      <c r="F17" s="26" t="s">
        <v>750</v>
      </c>
      <c r="G17" s="26" t="s">
        <v>418</v>
      </c>
      <c r="H17" s="26" t="s">
        <v>419</v>
      </c>
      <c r="I17" s="26" t="s">
        <v>752</v>
      </c>
      <c r="J17" s="26" t="s">
        <v>420</v>
      </c>
      <c r="K17" s="26" t="s">
        <v>421</v>
      </c>
      <c r="L17" s="26" t="s">
        <v>754</v>
      </c>
      <c r="M17" s="26" t="s">
        <v>422</v>
      </c>
    </row>
    <row r="18" ht="78.0" customHeight="1">
      <c r="A18" s="15">
        <v>9.0</v>
      </c>
      <c r="B18" s="16" t="s">
        <v>307</v>
      </c>
      <c r="C18" s="16" t="s">
        <v>423</v>
      </c>
      <c r="D18" s="16" t="s">
        <v>424</v>
      </c>
      <c r="E18" s="16" t="s">
        <v>758</v>
      </c>
      <c r="F18" s="16" t="s">
        <v>759</v>
      </c>
      <c r="G18" s="16" t="s">
        <v>425</v>
      </c>
      <c r="H18" s="16" t="s">
        <v>426</v>
      </c>
      <c r="I18" s="16" t="s">
        <v>761</v>
      </c>
      <c r="J18" s="16" t="s">
        <v>427</v>
      </c>
      <c r="K18" s="16" t="s">
        <v>428</v>
      </c>
      <c r="L18" s="16" t="s">
        <v>762</v>
      </c>
      <c r="M18" s="16" t="s">
        <v>429</v>
      </c>
    </row>
    <row r="19" ht="78.0" customHeight="1">
      <c r="A19" s="15">
        <v>10.0</v>
      </c>
      <c r="B19" s="26" t="s">
        <v>238</v>
      </c>
      <c r="C19" s="26" t="s">
        <v>430</v>
      </c>
      <c r="D19" s="26" t="s">
        <v>431</v>
      </c>
      <c r="E19" s="26" t="s">
        <v>767</v>
      </c>
      <c r="F19" s="26" t="s">
        <v>768</v>
      </c>
      <c r="G19" s="26" t="s">
        <v>432</v>
      </c>
      <c r="H19" s="26" t="s">
        <v>433</v>
      </c>
      <c r="I19" s="26" t="s">
        <v>769</v>
      </c>
      <c r="J19" s="26" t="s">
        <v>434</v>
      </c>
      <c r="K19" s="26" t="s">
        <v>435</v>
      </c>
      <c r="L19" s="26" t="s">
        <v>770</v>
      </c>
      <c r="M19" s="26" t="s">
        <v>436</v>
      </c>
    </row>
    <row r="20" ht="78.0" customHeight="1">
      <c r="A20" s="15">
        <v>11.0</v>
      </c>
      <c r="B20" s="16" t="s">
        <v>437</v>
      </c>
      <c r="C20" s="16" t="s">
        <v>438</v>
      </c>
      <c r="D20" s="16" t="s">
        <v>439</v>
      </c>
      <c r="E20" s="16" t="s">
        <v>771</v>
      </c>
      <c r="F20" s="16" t="s">
        <v>772</v>
      </c>
      <c r="G20" s="16" t="s">
        <v>440</v>
      </c>
      <c r="H20" s="16" t="s">
        <v>441</v>
      </c>
      <c r="I20" s="16" t="s">
        <v>775</v>
      </c>
      <c r="J20" s="16" t="s">
        <v>442</v>
      </c>
      <c r="K20" s="16" t="s">
        <v>443</v>
      </c>
      <c r="L20" s="16" t="s">
        <v>777</v>
      </c>
      <c r="M20" s="16" t="s">
        <v>444</v>
      </c>
    </row>
    <row r="21" ht="78.0" customHeight="1">
      <c r="A21" s="15">
        <v>12.0</v>
      </c>
      <c r="B21" s="24" t="s">
        <v>200</v>
      </c>
      <c r="C21" s="24" t="s">
        <v>445</v>
      </c>
      <c r="D21" s="24" t="s">
        <v>446</v>
      </c>
      <c r="E21" s="24" t="s">
        <v>779</v>
      </c>
      <c r="F21" s="24" t="s">
        <v>780</v>
      </c>
      <c r="G21" s="24" t="s">
        <v>447</v>
      </c>
      <c r="H21" s="24" t="s">
        <v>448</v>
      </c>
      <c r="I21" s="24" t="s">
        <v>781</v>
      </c>
      <c r="J21" s="24" t="s">
        <v>449</v>
      </c>
      <c r="K21" s="24" t="s">
        <v>450</v>
      </c>
      <c r="L21" s="24" t="s">
        <v>782</v>
      </c>
      <c r="M21" s="24" t="s">
        <v>451</v>
      </c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5:B5"/>
    <mergeCell ref="A6:B6"/>
    <mergeCell ref="A7:B7"/>
    <mergeCell ref="C6:M6"/>
    <mergeCell ref="C7:M7"/>
    <mergeCell ref="A1:M1"/>
    <mergeCell ref="A2:M2"/>
    <mergeCell ref="A3:B3"/>
    <mergeCell ref="C3:M3"/>
    <mergeCell ref="A4:B4"/>
    <mergeCell ref="C4:M4"/>
    <mergeCell ref="C5:M5"/>
  </mergeCell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15.0"/>
    <col customWidth="1" min="3" max="3" width="26.0"/>
    <col customWidth="1" min="4" max="4" width="35.0"/>
    <col customWidth="1" min="5" max="5" width="34.0"/>
    <col customWidth="1" min="6" max="6" width="36.0"/>
    <col customWidth="1" min="7" max="7" width="45.0"/>
    <col customWidth="1" min="8" max="8" width="38.0"/>
    <col customWidth="1" min="9" max="9" width="33.0"/>
    <col customWidth="1" min="10" max="10" width="31.0"/>
    <col customWidth="1" min="11" max="11" width="35.0"/>
    <col customWidth="1" min="12" max="12" width="36.0"/>
    <col customWidth="1" min="13" max="13" width="40.0"/>
    <col customWidth="1" min="14" max="26" width="8.63"/>
  </cols>
  <sheetData>
    <row r="1" ht="30.0" customHeight="1">
      <c r="A1" s="4" t="s">
        <v>682</v>
      </c>
    </row>
    <row r="2" ht="27.75" customHeight="1">
      <c r="A2" s="6" t="s">
        <v>684</v>
      </c>
    </row>
    <row r="3" ht="36.0" customHeight="1">
      <c r="A3" s="7" t="s">
        <v>7</v>
      </c>
      <c r="C3" s="8" t="s">
        <v>189</v>
      </c>
    </row>
    <row r="4" ht="36.0" customHeight="1">
      <c r="A4" s="7" t="s">
        <v>14</v>
      </c>
      <c r="C4" s="8" t="s">
        <v>194</v>
      </c>
    </row>
    <row r="5" ht="36.0" customHeight="1">
      <c r="A5" s="7" t="s">
        <v>26</v>
      </c>
      <c r="C5" s="8" t="s">
        <v>198</v>
      </c>
    </row>
    <row r="6" ht="36.0" customHeight="1">
      <c r="A6" s="7" t="s">
        <v>19</v>
      </c>
      <c r="C6" s="8" t="s">
        <v>93</v>
      </c>
    </row>
    <row r="7" ht="36.0" customHeight="1">
      <c r="A7" s="7" t="s">
        <v>25</v>
      </c>
      <c r="C7" s="13" t="s">
        <v>98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ht="36.0" customHeight="1">
      <c r="A9" s="14" t="s">
        <v>15</v>
      </c>
      <c r="B9" s="14" t="s">
        <v>16</v>
      </c>
      <c r="C9" s="14" t="s">
        <v>18</v>
      </c>
      <c r="D9" s="14" t="s">
        <v>60</v>
      </c>
      <c r="E9" s="14" t="s">
        <v>61</v>
      </c>
      <c r="F9" s="14" t="s">
        <v>63</v>
      </c>
      <c r="G9" s="14" t="s">
        <v>66</v>
      </c>
      <c r="H9" s="14" t="s">
        <v>69</v>
      </c>
      <c r="I9" s="14" t="s">
        <v>71</v>
      </c>
      <c r="J9" s="14" t="s">
        <v>74</v>
      </c>
      <c r="K9" s="14" t="s">
        <v>75</v>
      </c>
      <c r="L9" s="14" t="s">
        <v>78</v>
      </c>
      <c r="M9" s="14" t="s">
        <v>81</v>
      </c>
    </row>
    <row r="10" ht="78.0" customHeight="1">
      <c r="A10" s="15">
        <v>1.0</v>
      </c>
      <c r="B10" s="16" t="s">
        <v>37</v>
      </c>
      <c r="C10" s="16" t="s">
        <v>452</v>
      </c>
      <c r="D10" s="16" t="s">
        <v>453</v>
      </c>
      <c r="E10" s="16" t="s">
        <v>685</v>
      </c>
      <c r="F10" s="16" t="s">
        <v>686</v>
      </c>
      <c r="G10" s="16" t="s">
        <v>454</v>
      </c>
      <c r="H10" s="16" t="s">
        <v>455</v>
      </c>
      <c r="I10" s="16" t="s">
        <v>687</v>
      </c>
      <c r="J10" s="16" t="s">
        <v>456</v>
      </c>
      <c r="K10" s="16" t="s">
        <v>457</v>
      </c>
      <c r="L10" s="16" t="s">
        <v>690</v>
      </c>
      <c r="M10" s="16" t="s">
        <v>458</v>
      </c>
    </row>
    <row r="11" ht="78.0" customHeight="1">
      <c r="A11" s="15">
        <v>2.0</v>
      </c>
      <c r="B11" s="17" t="s">
        <v>459</v>
      </c>
      <c r="C11" s="17" t="s">
        <v>460</v>
      </c>
      <c r="D11" s="17" t="s">
        <v>461</v>
      </c>
      <c r="E11" s="17" t="s">
        <v>693</v>
      </c>
      <c r="F11" s="17" t="s">
        <v>694</v>
      </c>
      <c r="G11" s="17" t="s">
        <v>462</v>
      </c>
      <c r="H11" s="17" t="s">
        <v>463</v>
      </c>
      <c r="I11" s="17" t="s">
        <v>695</v>
      </c>
      <c r="J11" s="17" t="s">
        <v>464</v>
      </c>
      <c r="K11" s="17" t="s">
        <v>465</v>
      </c>
      <c r="L11" s="17" t="s">
        <v>696</v>
      </c>
      <c r="M11" s="17" t="s">
        <v>466</v>
      </c>
    </row>
    <row r="12" ht="78.0" customHeight="1">
      <c r="A12" s="15">
        <v>3.0</v>
      </c>
      <c r="B12" s="26" t="s">
        <v>467</v>
      </c>
      <c r="C12" s="26" t="s">
        <v>468</v>
      </c>
      <c r="D12" s="26" t="s">
        <v>469</v>
      </c>
      <c r="E12" s="26" t="s">
        <v>701</v>
      </c>
      <c r="F12" s="26" t="s">
        <v>702</v>
      </c>
      <c r="G12" s="26" t="s">
        <v>470</v>
      </c>
      <c r="H12" s="26" t="s">
        <v>471</v>
      </c>
      <c r="I12" s="26" t="s">
        <v>703</v>
      </c>
      <c r="J12" s="26" t="s">
        <v>472</v>
      </c>
      <c r="K12" s="26" t="s">
        <v>473</v>
      </c>
      <c r="L12" s="26" t="s">
        <v>706</v>
      </c>
      <c r="M12" s="26" t="s">
        <v>474</v>
      </c>
    </row>
    <row r="13" ht="78.0" customHeight="1">
      <c r="A13" s="15">
        <v>4.0</v>
      </c>
      <c r="B13" s="26" t="s">
        <v>238</v>
      </c>
      <c r="C13" s="26" t="s">
        <v>475</v>
      </c>
      <c r="D13" s="26" t="s">
        <v>476</v>
      </c>
      <c r="E13" s="26" t="s">
        <v>709</v>
      </c>
      <c r="F13" s="26" t="s">
        <v>710</v>
      </c>
      <c r="G13" s="26" t="s">
        <v>477</v>
      </c>
      <c r="H13" s="26" t="s">
        <v>478</v>
      </c>
      <c r="I13" s="26" t="s">
        <v>711</v>
      </c>
      <c r="J13" s="26" t="s">
        <v>479</v>
      </c>
      <c r="K13" s="26" t="s">
        <v>480</v>
      </c>
      <c r="L13" s="26" t="s">
        <v>714</v>
      </c>
      <c r="M13" s="26" t="s">
        <v>481</v>
      </c>
    </row>
    <row r="14" ht="78.0" customHeight="1">
      <c r="A14" s="15">
        <v>5.0</v>
      </c>
      <c r="B14" s="26" t="s">
        <v>238</v>
      </c>
      <c r="C14" s="26" t="s">
        <v>482</v>
      </c>
      <c r="D14" s="26" t="s">
        <v>483</v>
      </c>
      <c r="E14" s="26" t="s">
        <v>716</v>
      </c>
      <c r="F14" s="26" t="s">
        <v>717</v>
      </c>
      <c r="G14" s="26" t="s">
        <v>484</v>
      </c>
      <c r="H14" s="26" t="s">
        <v>485</v>
      </c>
      <c r="I14" s="26" t="s">
        <v>718</v>
      </c>
      <c r="J14" s="26" t="s">
        <v>486</v>
      </c>
      <c r="K14" s="26" t="s">
        <v>487</v>
      </c>
      <c r="L14" s="26" t="s">
        <v>720</v>
      </c>
      <c r="M14" s="26" t="s">
        <v>488</v>
      </c>
    </row>
    <row r="15" ht="78.0" customHeight="1">
      <c r="A15" s="15">
        <v>6.0</v>
      </c>
      <c r="B15" s="21" t="s">
        <v>408</v>
      </c>
      <c r="C15" s="21" t="s">
        <v>489</v>
      </c>
      <c r="D15" s="21" t="s">
        <v>490</v>
      </c>
      <c r="E15" s="21" t="s">
        <v>723</v>
      </c>
      <c r="F15" s="21" t="s">
        <v>725</v>
      </c>
      <c r="G15" s="21" t="s">
        <v>491</v>
      </c>
      <c r="H15" s="21" t="s">
        <v>492</v>
      </c>
      <c r="I15" s="21" t="s">
        <v>727</v>
      </c>
      <c r="J15" s="21" t="s">
        <v>493</v>
      </c>
      <c r="K15" s="21" t="s">
        <v>494</v>
      </c>
      <c r="L15" s="21" t="s">
        <v>728</v>
      </c>
      <c r="M15" s="21" t="s">
        <v>495</v>
      </c>
    </row>
    <row r="16" ht="78.0" customHeight="1">
      <c r="A16" s="15">
        <v>7.0</v>
      </c>
      <c r="B16" s="16" t="s">
        <v>437</v>
      </c>
      <c r="C16" s="16" t="s">
        <v>496</v>
      </c>
      <c r="D16" s="16" t="s">
        <v>497</v>
      </c>
      <c r="E16" s="16" t="s">
        <v>732</v>
      </c>
      <c r="F16" s="16" t="s">
        <v>733</v>
      </c>
      <c r="G16" s="16" t="s">
        <v>498</v>
      </c>
      <c r="H16" s="16" t="s">
        <v>499</v>
      </c>
      <c r="I16" s="16" t="s">
        <v>735</v>
      </c>
      <c r="J16" s="16" t="s">
        <v>500</v>
      </c>
      <c r="K16" s="16" t="s">
        <v>501</v>
      </c>
      <c r="L16" s="16" t="s">
        <v>737</v>
      </c>
      <c r="M16" s="16" t="s">
        <v>502</v>
      </c>
    </row>
    <row r="17" ht="78.0" customHeight="1">
      <c r="A17" s="15">
        <v>8.0</v>
      </c>
      <c r="B17" s="17" t="s">
        <v>437</v>
      </c>
      <c r="C17" s="17" t="s">
        <v>503</v>
      </c>
      <c r="D17" s="17" t="s">
        <v>504</v>
      </c>
      <c r="E17" s="17" t="s">
        <v>740</v>
      </c>
      <c r="F17" s="17" t="s">
        <v>742</v>
      </c>
      <c r="G17" s="17" t="s">
        <v>505</v>
      </c>
      <c r="H17" s="17" t="s">
        <v>506</v>
      </c>
      <c r="I17" s="17" t="s">
        <v>744</v>
      </c>
      <c r="J17" s="17" t="s">
        <v>507</v>
      </c>
      <c r="K17" s="17" t="s">
        <v>508</v>
      </c>
      <c r="L17" s="17" t="s">
        <v>746</v>
      </c>
      <c r="M17" s="17" t="s">
        <v>509</v>
      </c>
    </row>
    <row r="18" ht="78.0" customHeight="1">
      <c r="A18" s="15">
        <v>9.0</v>
      </c>
      <c r="B18" s="16" t="s">
        <v>99</v>
      </c>
      <c r="C18" s="16" t="s">
        <v>510</v>
      </c>
      <c r="D18" s="16" t="s">
        <v>511</v>
      </c>
      <c r="E18" s="16" t="s">
        <v>747</v>
      </c>
      <c r="F18" s="16" t="s">
        <v>749</v>
      </c>
      <c r="G18" s="16" t="s">
        <v>512</v>
      </c>
      <c r="H18" s="16" t="s">
        <v>513</v>
      </c>
      <c r="I18" s="16" t="s">
        <v>751</v>
      </c>
      <c r="J18" s="16" t="s">
        <v>514</v>
      </c>
      <c r="K18" s="16" t="s">
        <v>515</v>
      </c>
      <c r="L18" s="16" t="s">
        <v>753</v>
      </c>
      <c r="M18" s="16" t="s">
        <v>516</v>
      </c>
    </row>
    <row r="19" ht="78.0" customHeight="1">
      <c r="A19" s="15">
        <v>10.0</v>
      </c>
      <c r="B19" s="13" t="s">
        <v>306</v>
      </c>
      <c r="C19" s="13" t="s">
        <v>517</v>
      </c>
      <c r="D19" s="13" t="s">
        <v>518</v>
      </c>
      <c r="E19" s="13" t="s">
        <v>755</v>
      </c>
      <c r="F19" s="13" t="s">
        <v>756</v>
      </c>
      <c r="G19" s="13" t="s">
        <v>519</v>
      </c>
      <c r="H19" s="13" t="s">
        <v>520</v>
      </c>
      <c r="I19" s="13" t="s">
        <v>757</v>
      </c>
      <c r="J19" s="13" t="s">
        <v>521</v>
      </c>
      <c r="K19" s="13" t="s">
        <v>522</v>
      </c>
      <c r="L19" s="13" t="s">
        <v>760</v>
      </c>
      <c r="M19" s="13" t="s">
        <v>523</v>
      </c>
    </row>
    <row r="20" ht="78.0" customHeight="1">
      <c r="A20" s="15">
        <v>11.0</v>
      </c>
      <c r="B20" s="16" t="s">
        <v>524</v>
      </c>
      <c r="C20" s="16" t="s">
        <v>525</v>
      </c>
      <c r="D20" s="16" t="s">
        <v>526</v>
      </c>
      <c r="E20" s="16" t="s">
        <v>763</v>
      </c>
      <c r="F20" s="16" t="s">
        <v>764</v>
      </c>
      <c r="G20" s="16" t="s">
        <v>527</v>
      </c>
      <c r="H20" s="16" t="s">
        <v>528</v>
      </c>
      <c r="I20" s="16" t="s">
        <v>765</v>
      </c>
      <c r="J20" s="16" t="s">
        <v>529</v>
      </c>
      <c r="K20" s="16" t="s">
        <v>530</v>
      </c>
      <c r="L20" s="16" t="s">
        <v>766</v>
      </c>
      <c r="M20" s="16" t="s">
        <v>531</v>
      </c>
    </row>
    <row r="21" ht="78.0" customHeight="1">
      <c r="A21" s="15">
        <v>12.0</v>
      </c>
      <c r="B21" s="24" t="s">
        <v>200</v>
      </c>
      <c r="C21" s="24" t="s">
        <v>532</v>
      </c>
      <c r="D21" s="24" t="s">
        <v>533</v>
      </c>
      <c r="E21" s="24" t="s">
        <v>773</v>
      </c>
      <c r="F21" s="24" t="s">
        <v>774</v>
      </c>
      <c r="G21" s="24" t="s">
        <v>534</v>
      </c>
      <c r="H21" s="24" t="s">
        <v>535</v>
      </c>
      <c r="I21" s="24" t="s">
        <v>776</v>
      </c>
      <c r="J21" s="24" t="s">
        <v>536</v>
      </c>
      <c r="K21" s="24" t="s">
        <v>537</v>
      </c>
      <c r="L21" s="24" t="s">
        <v>778</v>
      </c>
      <c r="M21" s="24" t="s">
        <v>538</v>
      </c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5:B5"/>
    <mergeCell ref="A6:B6"/>
    <mergeCell ref="A7:B7"/>
    <mergeCell ref="C6:M6"/>
    <mergeCell ref="C7:M7"/>
    <mergeCell ref="A1:M1"/>
    <mergeCell ref="A2:M2"/>
    <mergeCell ref="A3:B3"/>
    <mergeCell ref="C3:M3"/>
    <mergeCell ref="A4:B4"/>
    <mergeCell ref="C4:M4"/>
    <mergeCell ref="C5:M5"/>
  </mergeCell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6.0"/>
    <col customWidth="1" min="2" max="2" width="15.0"/>
    <col customWidth="1" min="3" max="3" width="26.0"/>
    <col customWidth="1" min="4" max="4" width="35.0"/>
    <col customWidth="1" min="5" max="5" width="34.0"/>
    <col customWidth="1" min="6" max="6" width="36.0"/>
    <col customWidth="1" min="7" max="7" width="45.0"/>
    <col customWidth="1" min="8" max="8" width="38.0"/>
    <col customWidth="1" min="9" max="9" width="33.0"/>
    <col customWidth="1" min="10" max="10" width="31.0"/>
    <col customWidth="1" min="11" max="11" width="35.0"/>
    <col customWidth="1" min="12" max="12" width="36.0"/>
    <col customWidth="1" min="13" max="13" width="40.0"/>
    <col customWidth="1" min="14" max="26" width="8.63"/>
  </cols>
  <sheetData>
    <row r="1" ht="30.0" customHeight="1">
      <c r="A1" s="4" t="s">
        <v>731</v>
      </c>
    </row>
    <row r="2" ht="27.75" customHeight="1">
      <c r="A2" s="6" t="s">
        <v>738</v>
      </c>
    </row>
    <row r="3" ht="36.0" customHeight="1">
      <c r="A3" s="7" t="s">
        <v>7</v>
      </c>
      <c r="C3" s="8" t="s">
        <v>207</v>
      </c>
    </row>
    <row r="4" ht="36.0" customHeight="1">
      <c r="A4" s="7" t="s">
        <v>14</v>
      </c>
      <c r="C4" s="8" t="s">
        <v>211</v>
      </c>
    </row>
    <row r="5" ht="36.0" customHeight="1">
      <c r="A5" s="7" t="s">
        <v>26</v>
      </c>
      <c r="C5" s="8" t="s">
        <v>214</v>
      </c>
    </row>
    <row r="6" ht="36.0" customHeight="1">
      <c r="A6" s="7" t="s">
        <v>19</v>
      </c>
      <c r="C6" s="8" t="s">
        <v>112</v>
      </c>
    </row>
    <row r="7" ht="36.0" customHeight="1">
      <c r="A7" s="7" t="s">
        <v>25</v>
      </c>
      <c r="C7" s="13" t="s">
        <v>114</v>
      </c>
    </row>
    <row r="8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</row>
    <row r="9" ht="36.0" customHeight="1">
      <c r="A9" s="14" t="s">
        <v>15</v>
      </c>
      <c r="B9" s="14" t="s">
        <v>16</v>
      </c>
      <c r="C9" s="14" t="s">
        <v>18</v>
      </c>
      <c r="D9" s="14" t="s">
        <v>60</v>
      </c>
      <c r="E9" s="14" t="s">
        <v>61</v>
      </c>
      <c r="F9" s="14" t="s">
        <v>63</v>
      </c>
      <c r="G9" s="14" t="s">
        <v>66</v>
      </c>
      <c r="H9" s="14" t="s">
        <v>69</v>
      </c>
      <c r="I9" s="14" t="s">
        <v>71</v>
      </c>
      <c r="J9" s="14" t="s">
        <v>74</v>
      </c>
      <c r="K9" s="14" t="s">
        <v>75</v>
      </c>
      <c r="L9" s="14" t="s">
        <v>78</v>
      </c>
      <c r="M9" s="14" t="s">
        <v>81</v>
      </c>
    </row>
    <row r="10" ht="78.0" customHeight="1">
      <c r="A10" s="15">
        <v>1.0</v>
      </c>
      <c r="B10" s="16" t="s">
        <v>539</v>
      </c>
      <c r="C10" s="16" t="s">
        <v>540</v>
      </c>
      <c r="D10" s="16" t="s">
        <v>541</v>
      </c>
      <c r="E10" s="16" t="s">
        <v>783</v>
      </c>
      <c r="F10" s="16" t="s">
        <v>784</v>
      </c>
      <c r="G10" s="16" t="s">
        <v>542</v>
      </c>
      <c r="H10" s="16" t="s">
        <v>543</v>
      </c>
      <c r="I10" s="16" t="s">
        <v>785</v>
      </c>
      <c r="J10" s="16" t="s">
        <v>544</v>
      </c>
      <c r="K10" s="16" t="s">
        <v>545</v>
      </c>
      <c r="L10" s="16" t="s">
        <v>786</v>
      </c>
      <c r="M10" s="16" t="s">
        <v>546</v>
      </c>
    </row>
    <row r="11" ht="78.0" customHeight="1">
      <c r="A11" s="15">
        <v>2.0</v>
      </c>
      <c r="B11" s="26" t="s">
        <v>378</v>
      </c>
      <c r="C11" s="26" t="s">
        <v>547</v>
      </c>
      <c r="D11" s="26" t="s">
        <v>548</v>
      </c>
      <c r="E11" s="26" t="s">
        <v>787</v>
      </c>
      <c r="F11" s="26" t="s">
        <v>788</v>
      </c>
      <c r="G11" s="26" t="s">
        <v>549</v>
      </c>
      <c r="H11" s="26" t="s">
        <v>550</v>
      </c>
      <c r="I11" s="26" t="s">
        <v>789</v>
      </c>
      <c r="J11" s="26" t="s">
        <v>551</v>
      </c>
      <c r="K11" s="26" t="s">
        <v>552</v>
      </c>
      <c r="L11" s="26" t="s">
        <v>790</v>
      </c>
      <c r="M11" s="26" t="s">
        <v>553</v>
      </c>
    </row>
    <row r="12" ht="78.0" customHeight="1">
      <c r="A12" s="15">
        <v>3.0</v>
      </c>
      <c r="B12" s="26" t="s">
        <v>554</v>
      </c>
      <c r="C12" s="26" t="s">
        <v>555</v>
      </c>
      <c r="D12" s="26" t="s">
        <v>556</v>
      </c>
      <c r="E12" s="26" t="s">
        <v>791</v>
      </c>
      <c r="F12" s="26" t="s">
        <v>792</v>
      </c>
      <c r="G12" s="26" t="s">
        <v>557</v>
      </c>
      <c r="H12" s="26" t="s">
        <v>558</v>
      </c>
      <c r="I12" s="26" t="s">
        <v>793</v>
      </c>
      <c r="J12" s="26" t="s">
        <v>559</v>
      </c>
      <c r="K12" s="26" t="s">
        <v>560</v>
      </c>
      <c r="L12" s="26" t="s">
        <v>777</v>
      </c>
      <c r="M12" s="26" t="s">
        <v>561</v>
      </c>
    </row>
    <row r="13" ht="78.0" customHeight="1">
      <c r="A13" s="15">
        <v>4.0</v>
      </c>
      <c r="B13" s="17" t="s">
        <v>562</v>
      </c>
      <c r="C13" s="17" t="s">
        <v>563</v>
      </c>
      <c r="D13" s="17" t="s">
        <v>564</v>
      </c>
      <c r="E13" s="17" t="s">
        <v>794</v>
      </c>
      <c r="F13" s="17" t="s">
        <v>795</v>
      </c>
      <c r="G13" s="17" t="s">
        <v>565</v>
      </c>
      <c r="H13" s="17" t="s">
        <v>566</v>
      </c>
      <c r="I13" s="17" t="s">
        <v>796</v>
      </c>
      <c r="J13" s="17" t="s">
        <v>567</v>
      </c>
      <c r="K13" s="17" t="s">
        <v>568</v>
      </c>
      <c r="L13" s="17" t="s">
        <v>797</v>
      </c>
      <c r="M13" s="17" t="s">
        <v>569</v>
      </c>
    </row>
    <row r="14" ht="78.0" customHeight="1">
      <c r="A14" s="15">
        <v>5.0</v>
      </c>
      <c r="B14" s="21" t="s">
        <v>570</v>
      </c>
      <c r="C14" s="21" t="s">
        <v>571</v>
      </c>
      <c r="D14" s="21" t="s">
        <v>572</v>
      </c>
      <c r="E14" s="21" t="s">
        <v>798</v>
      </c>
      <c r="F14" s="21" t="s">
        <v>799</v>
      </c>
      <c r="G14" s="21" t="s">
        <v>573</v>
      </c>
      <c r="H14" s="21" t="s">
        <v>574</v>
      </c>
      <c r="I14" s="21" t="s">
        <v>800</v>
      </c>
      <c r="J14" s="21" t="s">
        <v>575</v>
      </c>
      <c r="K14" s="21" t="s">
        <v>576</v>
      </c>
      <c r="L14" s="21" t="s">
        <v>801</v>
      </c>
      <c r="M14" s="21" t="s">
        <v>577</v>
      </c>
    </row>
    <row r="15" ht="78.0" customHeight="1">
      <c r="A15" s="15">
        <v>6.0</v>
      </c>
      <c r="B15" s="26" t="s">
        <v>554</v>
      </c>
      <c r="C15" s="26" t="s">
        <v>578</v>
      </c>
      <c r="D15" s="26" t="s">
        <v>579</v>
      </c>
      <c r="E15" s="26" t="s">
        <v>802</v>
      </c>
      <c r="F15" s="26" t="s">
        <v>803</v>
      </c>
      <c r="G15" s="26" t="s">
        <v>580</v>
      </c>
      <c r="H15" s="26" t="s">
        <v>581</v>
      </c>
      <c r="I15" s="26" t="s">
        <v>804</v>
      </c>
      <c r="J15" s="26" t="s">
        <v>582</v>
      </c>
      <c r="K15" s="26" t="s">
        <v>583</v>
      </c>
      <c r="L15" s="26" t="s">
        <v>805</v>
      </c>
      <c r="M15" s="26" t="s">
        <v>584</v>
      </c>
    </row>
    <row r="16" ht="78.0" customHeight="1">
      <c r="A16" s="15">
        <v>7.0</v>
      </c>
      <c r="B16" s="13" t="s">
        <v>306</v>
      </c>
      <c r="C16" s="13" t="s">
        <v>585</v>
      </c>
      <c r="D16" s="13" t="s">
        <v>586</v>
      </c>
      <c r="E16" s="13" t="s">
        <v>806</v>
      </c>
      <c r="F16" s="13" t="s">
        <v>807</v>
      </c>
      <c r="G16" s="13" t="s">
        <v>587</v>
      </c>
      <c r="H16" s="13" t="s">
        <v>588</v>
      </c>
      <c r="I16" s="13" t="s">
        <v>808</v>
      </c>
      <c r="J16" s="13" t="s">
        <v>589</v>
      </c>
      <c r="K16" s="13" t="s">
        <v>590</v>
      </c>
      <c r="L16" s="13" t="s">
        <v>809</v>
      </c>
      <c r="M16" s="13" t="s">
        <v>591</v>
      </c>
    </row>
    <row r="17" ht="78.0" customHeight="1">
      <c r="A17" s="15">
        <v>8.0</v>
      </c>
      <c r="B17" s="17" t="s">
        <v>592</v>
      </c>
      <c r="C17" s="17" t="s">
        <v>593</v>
      </c>
      <c r="D17" s="17" t="s">
        <v>594</v>
      </c>
      <c r="E17" s="17" t="s">
        <v>810</v>
      </c>
      <c r="F17" s="17" t="s">
        <v>811</v>
      </c>
      <c r="G17" s="17" t="s">
        <v>595</v>
      </c>
      <c r="H17" s="17" t="s">
        <v>596</v>
      </c>
      <c r="I17" s="17" t="s">
        <v>812</v>
      </c>
      <c r="J17" s="17" t="s">
        <v>597</v>
      </c>
      <c r="K17" s="17" t="s">
        <v>598</v>
      </c>
      <c r="L17" s="17" t="s">
        <v>813</v>
      </c>
      <c r="M17" s="17" t="s">
        <v>599</v>
      </c>
    </row>
    <row r="18" ht="78.0" customHeight="1">
      <c r="A18" s="15">
        <v>9.0</v>
      </c>
      <c r="B18" s="16" t="s">
        <v>600</v>
      </c>
      <c r="C18" s="16" t="s">
        <v>601</v>
      </c>
      <c r="D18" s="16" t="s">
        <v>602</v>
      </c>
      <c r="E18" s="16" t="s">
        <v>814</v>
      </c>
      <c r="F18" s="16" t="s">
        <v>815</v>
      </c>
      <c r="G18" s="16" t="s">
        <v>603</v>
      </c>
      <c r="H18" s="16" t="s">
        <v>604</v>
      </c>
      <c r="I18" s="16" t="s">
        <v>816</v>
      </c>
      <c r="J18" s="16" t="s">
        <v>605</v>
      </c>
      <c r="K18" s="16" t="s">
        <v>606</v>
      </c>
      <c r="L18" s="16" t="s">
        <v>817</v>
      </c>
      <c r="M18" s="16" t="s">
        <v>607</v>
      </c>
    </row>
    <row r="19" ht="78.0" customHeight="1">
      <c r="A19" s="15">
        <v>10.0</v>
      </c>
      <c r="B19" s="17" t="s">
        <v>608</v>
      </c>
      <c r="C19" s="17" t="s">
        <v>609</v>
      </c>
      <c r="D19" s="17" t="s">
        <v>610</v>
      </c>
      <c r="E19" s="17" t="s">
        <v>818</v>
      </c>
      <c r="F19" s="17" t="s">
        <v>819</v>
      </c>
      <c r="G19" s="17" t="s">
        <v>611</v>
      </c>
      <c r="H19" s="17" t="s">
        <v>612</v>
      </c>
      <c r="I19" s="17" t="s">
        <v>820</v>
      </c>
      <c r="J19" s="17" t="s">
        <v>613</v>
      </c>
      <c r="K19" s="17" t="s">
        <v>614</v>
      </c>
      <c r="L19" s="17" t="s">
        <v>821</v>
      </c>
      <c r="M19" s="17" t="s">
        <v>615</v>
      </c>
    </row>
    <row r="20" ht="78.0" customHeight="1">
      <c r="A20" s="15">
        <v>11.0</v>
      </c>
      <c r="B20" s="16" t="s">
        <v>616</v>
      </c>
      <c r="C20" s="16" t="s">
        <v>617</v>
      </c>
      <c r="D20" s="16" t="s">
        <v>618</v>
      </c>
      <c r="E20" s="16" t="s">
        <v>822</v>
      </c>
      <c r="F20" s="16" t="s">
        <v>823</v>
      </c>
      <c r="G20" s="16" t="s">
        <v>619</v>
      </c>
      <c r="H20" s="16" t="s">
        <v>620</v>
      </c>
      <c r="I20" s="16" t="s">
        <v>824</v>
      </c>
      <c r="J20" s="16" t="s">
        <v>621</v>
      </c>
      <c r="K20" s="16" t="s">
        <v>622</v>
      </c>
      <c r="L20" s="16" t="s">
        <v>825</v>
      </c>
      <c r="M20" s="16" t="s">
        <v>623</v>
      </c>
    </row>
    <row r="21" ht="78.0" customHeight="1">
      <c r="A21" s="15">
        <v>12.0</v>
      </c>
      <c r="B21" s="24" t="s">
        <v>200</v>
      </c>
      <c r="C21" s="24" t="s">
        <v>624</v>
      </c>
      <c r="D21" s="24" t="s">
        <v>625</v>
      </c>
      <c r="E21" s="24" t="s">
        <v>826</v>
      </c>
      <c r="F21" s="24" t="s">
        <v>827</v>
      </c>
      <c r="G21" s="24" t="s">
        <v>626</v>
      </c>
      <c r="H21" s="24" t="s">
        <v>627</v>
      </c>
      <c r="I21" s="24" t="s">
        <v>776</v>
      </c>
      <c r="J21" s="24" t="s">
        <v>628</v>
      </c>
      <c r="K21" s="24" t="s">
        <v>629</v>
      </c>
      <c r="L21" s="24" t="s">
        <v>828</v>
      </c>
      <c r="M21" s="24" t="s">
        <v>630</v>
      </c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2">
    <mergeCell ref="A5:B5"/>
    <mergeCell ref="A6:B6"/>
    <mergeCell ref="A7:B7"/>
    <mergeCell ref="C6:M6"/>
    <mergeCell ref="C7:M7"/>
    <mergeCell ref="A1:M1"/>
    <mergeCell ref="A2:M2"/>
    <mergeCell ref="A3:B3"/>
    <mergeCell ref="C3:M3"/>
    <mergeCell ref="A4:B4"/>
    <mergeCell ref="C4:M4"/>
    <mergeCell ref="C5:M5"/>
  </mergeCell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5.0"/>
    <col customWidth="1" min="2" max="2" width="32.0"/>
    <col customWidth="1" min="3" max="3" width="62.0"/>
    <col customWidth="1" min="4" max="4" width="72.0"/>
    <col customWidth="1" min="5" max="26" width="8.63"/>
  </cols>
  <sheetData>
    <row r="1">
      <c r="A1" s="2" t="s">
        <v>829</v>
      </c>
      <c r="E1" s="3"/>
      <c r="F1" s="3"/>
      <c r="G1" s="3"/>
      <c r="H1" s="3"/>
      <c r="I1" s="3"/>
      <c r="J1" s="3"/>
      <c r="K1" s="3"/>
      <c r="L1" s="3"/>
      <c r="M1" s="3"/>
    </row>
    <row r="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>
      <c r="A3" s="9" t="s">
        <v>830</v>
      </c>
      <c r="B3" s="9" t="s">
        <v>831</v>
      </c>
      <c r="C3" s="9" t="s">
        <v>832</v>
      </c>
      <c r="D3" s="9" t="s">
        <v>833</v>
      </c>
      <c r="E3" s="3"/>
      <c r="F3" s="3"/>
      <c r="G3" s="3"/>
      <c r="H3" s="3"/>
      <c r="I3" s="3"/>
      <c r="J3" s="3"/>
      <c r="K3" s="3"/>
      <c r="L3" s="3"/>
      <c r="M3" s="3"/>
    </row>
    <row r="4" ht="67.5" customHeight="1">
      <c r="A4" s="12" t="s">
        <v>33</v>
      </c>
      <c r="B4" s="12" t="s">
        <v>834</v>
      </c>
      <c r="C4" s="12" t="s">
        <v>835</v>
      </c>
      <c r="D4" s="12" t="s">
        <v>836</v>
      </c>
      <c r="E4" s="3"/>
      <c r="F4" s="3"/>
      <c r="G4" s="3"/>
      <c r="H4" s="3"/>
      <c r="I4" s="3"/>
      <c r="J4" s="3"/>
      <c r="K4" s="3"/>
      <c r="L4" s="3"/>
      <c r="M4" s="3"/>
    </row>
    <row r="5" ht="67.5" customHeight="1">
      <c r="A5" s="12" t="s">
        <v>48</v>
      </c>
      <c r="B5" s="12" t="s">
        <v>837</v>
      </c>
      <c r="C5" s="12" t="s">
        <v>838</v>
      </c>
      <c r="D5" s="12" t="s">
        <v>839</v>
      </c>
      <c r="E5" s="3"/>
      <c r="F5" s="3"/>
      <c r="G5" s="3"/>
      <c r="H5" s="3"/>
      <c r="I5" s="3"/>
      <c r="J5" s="3"/>
      <c r="K5" s="3"/>
      <c r="L5" s="3"/>
      <c r="M5" s="3"/>
    </row>
    <row r="6" ht="67.5" customHeight="1">
      <c r="A6" s="12" t="s">
        <v>840</v>
      </c>
      <c r="B6" s="12" t="s">
        <v>841</v>
      </c>
      <c r="C6" s="12" t="s">
        <v>842</v>
      </c>
      <c r="D6" s="12" t="s">
        <v>843</v>
      </c>
      <c r="E6" s="3"/>
      <c r="F6" s="3"/>
      <c r="G6" s="3"/>
      <c r="H6" s="3"/>
      <c r="I6" s="3"/>
      <c r="J6" s="3"/>
      <c r="K6" s="3"/>
      <c r="L6" s="3"/>
      <c r="M6" s="3"/>
    </row>
    <row r="7" ht="67.5" customHeight="1">
      <c r="A7" s="12" t="s">
        <v>840</v>
      </c>
      <c r="B7" s="12" t="s">
        <v>844</v>
      </c>
      <c r="C7" s="12" t="s">
        <v>845</v>
      </c>
      <c r="D7" s="12" t="s">
        <v>846</v>
      </c>
      <c r="E7" s="3"/>
      <c r="F7" s="3"/>
      <c r="G7" s="3"/>
      <c r="H7" s="3"/>
      <c r="I7" s="3"/>
      <c r="J7" s="3"/>
      <c r="K7" s="3"/>
      <c r="L7" s="3"/>
      <c r="M7" s="3"/>
    </row>
    <row r="8" ht="67.5" customHeight="1">
      <c r="A8" s="12" t="s">
        <v>840</v>
      </c>
      <c r="B8" s="12" t="s">
        <v>847</v>
      </c>
      <c r="C8" s="12" t="s">
        <v>848</v>
      </c>
      <c r="D8" s="12" t="s">
        <v>849</v>
      </c>
      <c r="E8" s="3"/>
      <c r="F8" s="3"/>
      <c r="G8" s="3"/>
      <c r="H8" s="3"/>
      <c r="I8" s="3"/>
      <c r="J8" s="3"/>
      <c r="K8" s="3"/>
      <c r="L8" s="3"/>
      <c r="M8" s="3"/>
    </row>
    <row r="9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</row>
    <row r="11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</row>
    <row r="13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</row>
    <row r="14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</row>
    <row r="1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</row>
    <row r="16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</row>
    <row r="17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</row>
    <row r="20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</row>
    <row r="21" ht="15.75" customHeight="1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ht="15.75" customHeight="1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ht="15.75" customHeight="1">
      <c r="A23" s="3"/>
      <c r="B23" s="3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</row>
    <row r="24" ht="15.75" customHeight="1">
      <c r="A24" s="3"/>
      <c r="B24" s="3"/>
      <c r="C24" s="3"/>
      <c r="D24" s="3"/>
      <c r="E24" s="3"/>
      <c r="F24" s="3"/>
      <c r="G24" s="3"/>
      <c r="H24" s="3"/>
      <c r="I24" s="3"/>
      <c r="J24" s="3"/>
      <c r="K24" s="3"/>
      <c r="L24" s="3"/>
      <c r="M24" s="3"/>
    </row>
    <row r="25" ht="15.75" customHeight="1">
      <c r="A25" s="3"/>
      <c r="B25" s="3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</row>
    <row r="26" ht="15.75" customHeight="1">
      <c r="A26" s="3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</row>
    <row r="27" ht="15.75" customHeight="1">
      <c r="A27" s="3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</row>
    <row r="28" ht="15.75" customHeight="1">
      <c r="A28" s="3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</row>
    <row r="29" ht="15.75" customHeight="1">
      <c r="A29" s="3"/>
      <c r="B29" s="3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</row>
    <row r="30" ht="15.75" customHeight="1">
      <c r="A30" s="3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</row>
    <row r="31" ht="15.75" customHeight="1">
      <c r="A31" s="3"/>
      <c r="B31" s="3"/>
      <c r="C31" s="3"/>
      <c r="D31" s="3"/>
      <c r="E31" s="3"/>
      <c r="F31" s="3"/>
      <c r="G31" s="3"/>
      <c r="H31" s="3"/>
      <c r="I31" s="3"/>
      <c r="J31" s="3"/>
      <c r="K31" s="3"/>
      <c r="L31" s="3"/>
      <c r="M31" s="3"/>
    </row>
    <row r="32" ht="15.75" customHeight="1">
      <c r="A32" s="3"/>
      <c r="B32" s="3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</row>
    <row r="33" ht="15.75" customHeight="1">
      <c r="A33" s="3"/>
      <c r="B33" s="3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</row>
    <row r="34" ht="15.75" customHeight="1">
      <c r="A34" s="3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</row>
    <row r="35" ht="15.75" customHeight="1">
      <c r="A35" s="3"/>
      <c r="B35" s="3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</row>
    <row r="36" ht="15.75" customHeight="1">
      <c r="A36" s="3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</row>
    <row r="37" ht="15.75" customHeight="1">
      <c r="A37" s="3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</row>
    <row r="38" ht="15.75" customHeight="1">
      <c r="A38" s="3"/>
      <c r="B38" s="3"/>
      <c r="C38" s="3"/>
      <c r="D38" s="3"/>
      <c r="E38" s="3"/>
      <c r="F38" s="3"/>
      <c r="G38" s="3"/>
      <c r="H38" s="3"/>
      <c r="I38" s="3"/>
      <c r="J38" s="3"/>
      <c r="K38" s="3"/>
      <c r="L38" s="3"/>
      <c r="M38" s="3"/>
    </row>
    <row r="39" ht="15.75" customHeight="1">
      <c r="A39" s="3"/>
      <c r="B39" s="3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</row>
    <row r="40" ht="15.75" customHeight="1">
      <c r="A40" s="3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</row>
    <row r="41" ht="15.75" customHeight="1">
      <c r="A41" s="3"/>
      <c r="B41" s="3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</row>
    <row r="42" ht="15.75" customHeight="1">
      <c r="A42" s="3"/>
      <c r="B42" s="3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</row>
    <row r="43" ht="15.75" customHeight="1">
      <c r="A43" s="3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</row>
    <row r="44" ht="15.75" customHeight="1">
      <c r="A44" s="3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</row>
    <row r="45" ht="15.75" customHeight="1">
      <c r="A45" s="3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</row>
    <row r="46" ht="15.75" customHeight="1">
      <c r="A46" s="3"/>
      <c r="B46" s="3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</row>
    <row r="47" ht="15.75" customHeight="1">
      <c r="A47" s="3"/>
      <c r="B47" s="3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</row>
    <row r="48" ht="15.75" customHeight="1">
      <c r="A48" s="3"/>
      <c r="B48" s="3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</row>
    <row r="49" ht="15.75" customHeight="1">
      <c r="A49" s="3"/>
      <c r="B49" s="3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</row>
    <row r="50" ht="15.75" customHeight="1">
      <c r="A50" s="3"/>
      <c r="B50" s="3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</row>
    <row r="51" ht="15.75" customHeight="1">
      <c r="A51" s="3"/>
      <c r="B51" s="3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</row>
    <row r="52" ht="15.75" customHeight="1">
      <c r="A52" s="3"/>
      <c r="B52" s="3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</row>
    <row r="53" ht="15.75" customHeight="1">
      <c r="A53" s="3"/>
      <c r="B53" s="3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</row>
    <row r="54" ht="15.75" customHeight="1">
      <c r="A54" s="3"/>
      <c r="B54" s="3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</row>
    <row r="55" ht="15.75" customHeight="1">
      <c r="A55" s="3"/>
      <c r="B55" s="3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</row>
    <row r="56" ht="15.75" customHeight="1">
      <c r="A56" s="3"/>
      <c r="B56" s="3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</row>
    <row r="57" ht="15.75" customHeight="1">
      <c r="A57" s="3"/>
      <c r="B57" s="3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</row>
    <row r="58" ht="15.75" customHeight="1">
      <c r="A58" s="3"/>
      <c r="B58" s="3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</row>
    <row r="59" ht="15.75" customHeight="1">
      <c r="A59" s="3"/>
      <c r="B59" s="3"/>
      <c r="C59" s="3"/>
      <c r="D59" s="3"/>
      <c r="E59" s="3"/>
      <c r="F59" s="3"/>
      <c r="G59" s="3"/>
      <c r="H59" s="3"/>
      <c r="I59" s="3"/>
      <c r="J59" s="3"/>
      <c r="K59" s="3"/>
      <c r="L59" s="3"/>
      <c r="M59" s="3"/>
    </row>
    <row r="60" ht="15.75" customHeight="1">
      <c r="A60" s="3"/>
      <c r="B60" s="3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</row>
    <row r="61" ht="15.75" customHeight="1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</row>
    <row r="62" ht="15.75" customHeight="1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</row>
    <row r="63" ht="15.75" customHeight="1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</row>
    <row r="64" ht="15.75" customHeight="1">
      <c r="A64" s="3"/>
      <c r="B64" s="3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</row>
    <row r="65" ht="15.75" customHeight="1">
      <c r="A65" s="3"/>
      <c r="B65" s="3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</row>
    <row r="66" ht="15.75" customHeight="1">
      <c r="A66" s="3"/>
      <c r="B66" s="3"/>
      <c r="C66" s="3"/>
      <c r="D66" s="3"/>
      <c r="E66" s="3"/>
      <c r="F66" s="3"/>
      <c r="G66" s="3"/>
      <c r="H66" s="3"/>
      <c r="I66" s="3"/>
      <c r="J66" s="3"/>
      <c r="K66" s="3"/>
      <c r="L66" s="3"/>
      <c r="M66" s="3"/>
    </row>
    <row r="67" ht="15.75" customHeight="1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</row>
    <row r="68" ht="15.75" customHeight="1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</row>
    <row r="69" ht="15.75" customHeight="1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</row>
    <row r="70" ht="15.75" customHeight="1">
      <c r="A70" s="3"/>
      <c r="B70" s="3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</row>
    <row r="71" ht="15.75" customHeight="1">
      <c r="A71" s="3"/>
      <c r="B71" s="3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</row>
    <row r="72" ht="15.75" customHeight="1">
      <c r="A72" s="3"/>
      <c r="B72" s="3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</row>
    <row r="73" ht="15.75" customHeight="1">
      <c r="A73" s="3"/>
      <c r="B73" s="3"/>
      <c r="C73" s="3"/>
      <c r="D73" s="3"/>
      <c r="E73" s="3"/>
      <c r="F73" s="3"/>
      <c r="G73" s="3"/>
      <c r="H73" s="3"/>
      <c r="I73" s="3"/>
      <c r="J73" s="3"/>
      <c r="K73" s="3"/>
      <c r="L73" s="3"/>
      <c r="M73" s="3"/>
    </row>
    <row r="74" ht="15.75" customHeight="1">
      <c r="A74" s="3"/>
      <c r="B74" s="3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</row>
    <row r="75" ht="15.75" customHeight="1">
      <c r="A75" s="3"/>
      <c r="B75" s="3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</row>
    <row r="76" ht="15.75" customHeight="1">
      <c r="A76" s="3"/>
      <c r="B76" s="3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</row>
    <row r="77" ht="15.75" customHeight="1">
      <c r="A77" s="3"/>
      <c r="B77" s="3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</row>
    <row r="78" ht="15.75" customHeight="1">
      <c r="A78" s="3"/>
      <c r="B78" s="3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</row>
    <row r="79" ht="15.75" customHeight="1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</row>
    <row r="80" ht="15.75" customHeight="1">
      <c r="A80" s="3"/>
      <c r="B80" s="3"/>
      <c r="C80" s="3"/>
      <c r="D80" s="3"/>
      <c r="E80" s="3"/>
      <c r="F80" s="3"/>
      <c r="G80" s="3"/>
      <c r="H80" s="3"/>
      <c r="I80" s="3"/>
      <c r="J80" s="3"/>
      <c r="K80" s="3"/>
      <c r="L80" s="3"/>
      <c r="M80" s="3"/>
    </row>
    <row r="81" ht="15.7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</row>
    <row r="82" ht="15.7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</row>
    <row r="83" ht="15.7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</row>
    <row r="84" ht="15.7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</row>
    <row r="85" ht="15.7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</row>
    <row r="86" ht="15.7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</row>
    <row r="87" ht="15.7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</row>
    <row r="88" ht="15.7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</row>
    <row r="89" ht="15.7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</row>
    <row r="90" ht="15.7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</row>
    <row r="91" ht="15.7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</row>
    <row r="92" ht="15.7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</row>
    <row r="93" ht="15.7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</row>
    <row r="94" ht="15.7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</row>
    <row r="95" ht="15.7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</row>
    <row r="96" ht="15.7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</row>
    <row r="97" ht="15.7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</row>
    <row r="98" ht="15.7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</row>
    <row r="99" ht="15.7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</row>
    <row r="100" ht="15.7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</row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">
    <mergeCell ref="A1:D1"/>
  </mergeCells>
  <printOptions/>
  <pageMargins bottom="0.75" footer="0.0" header="0.0" left="0.7" right="0.7" top="0.75"/>
  <pageSetup orientation="landscape"/>
  <drawing r:id="rId1"/>
</worksheet>
</file>